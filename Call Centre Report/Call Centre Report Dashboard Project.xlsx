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shahe\Downloads\4-hour-course-xl-files\"/>
    </mc:Choice>
  </mc:AlternateContent>
  <xr:revisionPtr revIDLastSave="0" documentId="13_ncr:1_{69674907-C8BA-4596-8C8F-BAD6A55254BA}" xr6:coauthVersionLast="47" xr6:coauthVersionMax="47" xr10:uidLastSave="{00000000-0000-0000-0000-000000000000}"/>
  <bookViews>
    <workbookView xWindow="-120" yWindow="-120" windowWidth="29040" windowHeight="15720" activeTab="3" xr2:uid="{26D4546B-D2A1-4444-8EAF-A6228F96F0C1}"/>
  </bookViews>
  <sheets>
    <sheet name="Sheet1" sheetId="7" r:id="rId1"/>
    <sheet name="Pivots" sheetId="6" r:id="rId2"/>
    <sheet name="Data" sheetId="2" r:id="rId3"/>
    <sheet name="Call-Centre-Report" sheetId="5" r:id="rId4"/>
    <sheet name="Assets" sheetId="4" r:id="rId5"/>
  </sheets>
  <definedNames>
    <definedName name="_xlnm._FilterDatabase" localSheetId="2" hidden="1">Data!$B$3:$H$1003</definedName>
    <definedName name="_xlcn.WorksheetConnection_ExcelDashboardProject.xlsxcalls1" hidden="1">calls[]</definedName>
    <definedName name="_xlcn.WorksheetConnection_ExcelDashboardProject.xlsxcustomers1" hidden="1">customers[]</definedName>
    <definedName name="ExternalData_1" localSheetId="0" hidden="1">Sheet1!$A$3:$M$329</definedName>
    <definedName name="Slicer_Representative">#N/A</definedName>
  </definedNames>
  <calcPr calcId="191029"/>
  <pivotCaches>
    <pivotCache cacheId="0" r:id="rId6"/>
    <pivotCache cacheId="1" r:id="rId7"/>
    <pivotCache cacheId="2" r:id="rId8"/>
    <pivotCache cacheId="3" r:id="rId9"/>
    <pivotCache cacheId="57" r:id="rId10"/>
    <pivotCache cacheId="60" r:id="rId11"/>
    <pivotCache cacheId="63" r:id="rId12"/>
    <pivotCache cacheId="66" r:id="rId13"/>
    <pivotCache cacheId="69"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Excel Dashboard Project.xlsx!customers"/>
          <x15:modelTable id="calls" name="calls" connection="WorksheetConnection_Excel Dashboard 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5" i="6" l="1"/>
  <c r="L28" i="5" s="1"/>
  <c r="C67" i="6"/>
  <c r="C70" i="6" s="1"/>
  <c r="C74" i="6" s="1"/>
  <c r="L34" i="5" s="1"/>
  <c r="C66" i="6"/>
  <c r="C69" i="6" s="1"/>
  <c r="C73" i="6" s="1"/>
  <c r="L33" i="5" s="1"/>
  <c r="C65" i="6"/>
  <c r="C72" i="6" s="1"/>
  <c r="L32" i="5" s="1"/>
  <c r="U15" i="5"/>
  <c r="P15" i="5"/>
  <c r="Q15" i="5"/>
  <c r="R15" i="5"/>
  <c r="S15" i="5"/>
  <c r="T15" i="5"/>
  <c r="O16" i="5" a="1"/>
  <c r="I33" i="6"/>
  <c r="E36"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37" i="6" l="1"/>
  <c r="I38" i="6"/>
  <c r="I39" i="6"/>
  <c r="I40" i="6"/>
  <c r="I36" i="6"/>
  <c r="H37" i="6"/>
  <c r="H38" i="6"/>
  <c r="H39" i="6"/>
  <c r="H40" i="6"/>
  <c r="H3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680C0B-FEE3-4649-987D-9FF1456EED0E}" keepAlive="1" name="ModelConnection_ExternalData_1" description="Data Model" type="5" refreshedVersion="8" minRefreshableVersion="5" saveData="1">
    <dbPr connection="Data Model Connection" command="DRILLTHROUGH MAXROWS 1000 SELECT FROM [Model] WHERE ((([Measures].[Call Count],[customers].[City].&amp;[Cleveland]),[customers].[Gedner].&amp;[Fe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21DDB51C-7E99-4E88-979F-F09BBFC800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50BB75B-2F57-4E24-8E6C-B0A42998252A}" name="WorksheetConnection_Excel Dashboard Project.xlsx!calls" type="102" refreshedVersion="8" minRefreshableVersion="5">
    <extLst>
      <ext xmlns:x15="http://schemas.microsoft.com/office/spreadsheetml/2010/11/main" uri="{DE250136-89BD-433C-8126-D09CA5730AF9}">
        <x15:connection id="calls" autoDelete="1">
          <x15:rangePr sourceName="_xlcn.WorksheetConnection_ExcelDashboardProject.xlsxcalls1"/>
        </x15:connection>
      </ext>
    </extLst>
  </connection>
  <connection id="4" xr16:uid="{1B5702C7-D11E-48E9-A64E-7722C48E9ECF}" name="WorksheetConnection_Excel Dashboard Project.xlsx!customers" type="102" refreshedVersion="8" minRefreshableVersion="5">
    <extLst>
      <ext xmlns:x15="http://schemas.microsoft.com/office/spreadsheetml/2010/11/main" uri="{DE250136-89BD-433C-8126-D09CA5730AF9}">
        <x15:connection id="customers">
          <x15:rangePr sourceName="_xlcn.WorksheetConnection_ExcelDashboard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<sst xmlns="http://schemas.openxmlformats.org/spreadsheetml/2006/main" count="5140" uniqueCount="1103">
  <si>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</si>
  <si>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</si>
  <si>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</si>
  <si>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</si>
  <si>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</si>
  <si>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</si>
  <si>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</si>
  <si>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</si>
  <si>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</si>
  <si>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</si>
  <si>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</si>
  <si>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</si>
  <si>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</si>
  <si>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</si>
  <si>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</si>
  <si>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</si>
  <si>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</si>
  <si>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</si>
  <si>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</si>
  <si>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</si>
  <si>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</si>
  <si>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</si>
  <si>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</si>
  <si>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</si>
  <si>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</si>
  <si>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</si>
  <si>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</si>
  <si>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</si>
  <si>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</si>
  <si>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</si>
  <si>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</si>
  <si>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</si>
  <si>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</si>
  <si>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</si>
  <si>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</si>
  <si>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</si>
  <si>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</si>
  <si>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</si>
  <si>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</si>
  <si>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</si>
  <si>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</si>
  <si>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</si>
  <si>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</si>
  <si>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</si>
  <si>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</si>
  <si>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</si>
  <si>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</si>
  <si>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</si>
  <si>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</si>
  <si>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</si>
  <si>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</si>
  <si>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</si>
  <si>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</si>
  <si>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</si>
  <si>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</si>
  <si>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</si>
  <si>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</si>
  <si>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</si>
  <si>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</si>
  <si>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</si>
  <si>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</si>
  <si>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</si>
  <si>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</si>
  <si>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</si>
  <si>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</si>
  <si>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</si>
  <si>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</si>
  <si>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</si>
  <si>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</si>
  <si>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</si>
  <si>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</si>
  <si>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</si>
  <si>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</si>
  <si>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</si>
  <si>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</si>
  <si>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</si>
  <si>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</si>
  <si>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</si>
  <si>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</si>
  <si>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</si>
  <si>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</si>
  <si>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</si>
  <si>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</si>
  <si>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</si>
  <si>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</si>
  <si>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</si>
  <si>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</si>
  <si>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</si>
  <si>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</si>
  <si>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</si>
  <si>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</si>
  <si>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</si>
  <si>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</si>
  <si>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</si>
  <si>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</si>
  <si>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</si>
  <si>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</si>
  <si>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</si>
  <si>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</si>
  <si>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</si>
  <si>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</si>
  <si>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</si>
  <si>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</si>
  <si>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</si>
  <si>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</si>
  <si>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</si>
  <si>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</si>
  <si>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</si>
  <si>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</si>
  <si>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</si>
  <si>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</si>
  <si>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</si>
  <si>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</si>
  <si>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</si>
  <si>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</si>
  <si>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</si>
  <si>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</si>
  <si>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</si>
  <si>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</si>
  <si>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</si>
  <si>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</si>
  <si>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</si>
  <si>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</si>
  <si>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</si>
  <si>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</si>
  <si>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</si>
  <si>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</si>
  <si>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</si>
  <si>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</si>
  <si>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</si>
  <si>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</si>
  <si>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</si>
  <si>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</si>
  <si>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</si>
  <si>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</si>
  <si>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</si>
  <si>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</si>
  <si>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</si>
  <si>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</si>
  <si>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</si>
  <si>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</si>
  <si>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</si>
  <si>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</si>
  <si>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</si>
  <si>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</si>
  <si>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</si>
  <si>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</si>
  <si>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</si>
  <si>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</si>
  <si>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</si>
  <si>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</si>
  <si>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</si>
  <si>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</si>
  <si>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</si>
  <si>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</si>
  <si>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</si>
  <si>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</si>
  <si>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</si>
  <si>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</si>
  <si>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</si>
  <si>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</si>
  <si>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</si>
  <si>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</si>
  <si>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</si>
  <si>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</si>
  <si>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</si>
  <si>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</si>
  <si>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</si>
  <si>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</si>
  <si>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</si>
  <si>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</si>
  <si>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</si>
  <si>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</si>
  <si>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</si>
  <si>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</si>
  <si>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</si>
  <si>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</si>
  <si>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</si>
  <si>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</si>
  <si>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</si>
  <si>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</si>
  <si>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</si>
  <si>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</si>
  <si>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</si>
  <si>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</si>
  <si>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</si>
  <si>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</si>
  <si>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</si>
  <si>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</si>
  <si>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</si>
  <si>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</si>
  <si>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</si>
  <si>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</si>
  <si>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</si>
  <si>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</si>
  <si>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</si>
  <si>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</si>
  <si>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</si>
  <si>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</si>
  <si>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</si>
  <si>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</si>
  <si>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</si>
  <si>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</si>
  <si>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</si>
  <si>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</si>
  <si>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</si>
  <si>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</si>
  <si>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</si>
  <si>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</si>
  <si>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</si>
  <si>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</si>
  <si>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</si>
  <si>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</si>
  <si>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</si>
  <si>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</si>
  <si>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</si>
  <si>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</si>
  <si>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</si>
  <si>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</si>
  <si>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</si>
  <si>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</si>
  <si>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</si>
  <si>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</si>
  <si>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</si>
  <si>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</si>
  <si>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</si>
  <si>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</si>
  <si>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</si>
  <si>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</si>
  <si>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</si>
  <si>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</si>
  <si>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</si>
  <si>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</si>
  <si>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</si>
  <si>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</si>
  <si>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</si>
  <si>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</si>
  <si>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</si>
  <si>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</si>
  <si>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</si>
  <si>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</si>
  <si>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</si>
  <si>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</si>
  <si>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</si>
  <si>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</si>
  <si>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</si>
  <si>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</si>
  <si>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</si>
  <si>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</si>
  <si>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</si>
  <si>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</si>
  <si>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</si>
  <si>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</si>
  <si>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</si>
  <si>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</si>
  <si>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</si>
  <si>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</si>
  <si>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</si>
  <si>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</si>
  <si>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</si>
  <si>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</si>
  <si>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</si>
  <si>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</si>
  <si>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</si>
  <si>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</si>
  <si>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</si>
  <si>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</si>
  <si>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</si>
  <si>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</si>
  <si>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</si>
  <si>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</si>
  <si>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</si>
  <si>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</si>
  <si>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</si>
  <si>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</si>
  <si>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</si>
  <si>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</si>
  <si>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</si>
  <si>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</si>
  <si>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</si>
  <si>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</si>
  <si>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</si>
  <si>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</si>
  <si>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</si>
  <si>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</si>
  <si>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</si>
  <si>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</si>
  <si>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</si>
  <si>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</si>
  <si>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</si>
  <si>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</si>
  <si>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</si>
  <si>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</si>
  <si>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</si>
  <si>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</si>
  <si>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</si>
  <si>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</si>
  <si>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</si>
  <si>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</si>
  <si>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</si>
  <si>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</si>
  <si>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</si>
  <si>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</si>
  <si>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</si>
  <si>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</si>
  <si>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</si>
  <si>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</si>
  <si>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</si>
  <si>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</si>
  <si>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</si>
  <si>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</si>
  <si>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</si>
  <si>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</si>
  <si>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</si>
  <si>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</si>
  <si>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</si>
  <si>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</si>
  <si>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</si>
  <si>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</si>
  <si>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</si>
  <si>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</si>
  <si>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</si>
  <si>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</si>
  <si>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</si>
  <si>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</si>
  <si>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</si>
  <si>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</si>
  <si>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</si>
  <si>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</si>
  <si>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</si>
  <si>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</si>
  <si>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</si>
  <si>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</si>
  <si>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</si>
  <si>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</si>
  <si>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</si>
  <si>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</si>
  <si>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</si>
  <si>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</si>
  <si>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</si>
  <si>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</si>
  <si>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</si>
  <si>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</si>
  <si>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</si>
  <si>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</si>
  <si>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</si>
  <si>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</si>
  <si>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</si>
  <si>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</si>
  <si>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</si>
  <si>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</si>
  <si>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</si>
  <si>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</si>
  <si>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</si>
  <si>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</si>
  <si>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</si>
  <si>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</si>
  <si>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</si>
  <si>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</si>
  <si>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</si>
  <si>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</si>
  <si>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</si>
  <si>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</si>
  <si>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</si>
  <si>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</si>
  <si>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</si>
  <si>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</si>
  <si>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</si>
  <si>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</si>
  <si>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</si>
  <si>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</si>
  <si>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</si>
  <si>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</si>
  <si>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</si>
  <si>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</si>
  <si>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</si>
  <si>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</si>
  <si>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</si>
  <si>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</si>
  <si>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</si>
  <si>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</si>
  <si>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</si>
  <si>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</si>
  <si>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</si>
  <si>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</si>
  <si>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</si>
  <si>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</si>
  <si>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</si>
  <si>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</si>
  <si>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</si>
  <si>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</si>
  <si>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</si>
  <si>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</si>
  <si>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</si>
  <si>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</si>
  <si>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</si>
  <si>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</si>
  <si>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</si>
  <si>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</si>
  <si>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</si>
  <si>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</si>
  <si>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</si>
  <si>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</si>
  <si>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</si>
  <si>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</si>
  <si>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</si>
  <si>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</si>
  <si>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</si>
  <si>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</si>
  <si>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</si>
  <si>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</si>
  <si>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</si>
  <si>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</si>
  <si>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</si>
  <si>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</si>
  <si>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</si>
  <si>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</si>
  <si>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</si>
  <si>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</si>
  <si>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</si>
  <si>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</si>
  <si>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</si>
  <si>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</si>
  <si>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</si>
  <si>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</si>
  <si>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</si>
  <si>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</si>
  <si>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</si>
  <si>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</si>
  <si>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</si>
  <si>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</si>
  <si>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</si>
  <si>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</si>
  <si>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</si>
  <si>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</si>
  <si>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</si>
  <si>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</si>
  <si>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</si>
  <si>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</si>
  <si>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</si>
  <si>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</si>
  <si>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</si>
  <si>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</si>
  <si>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</si>
  <si>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</si>
  <si>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</si>
  <si>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</si>
  <si>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</si>
  <si>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</si>
  <si>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</si>
  <si>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</si>
  <si>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</si>
  <si>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</si>
  <si>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</si>
  <si>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</si>
  <si>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</si>
  <si>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</si>
  <si>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</si>
  <si>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</si>
  <si>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</si>
  <si>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</si>
  <si>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</si>
  <si>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</si>
  <si>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</si>
  <si>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</si>
  <si>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</si>
  <si>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</si>
  <si>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</si>
  <si>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</si>
  <si>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</si>
  <si>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</si>
  <si>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</si>
  <si>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</si>
  <si>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</si>
  <si>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</si>
  <si>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</si>
  <si>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</si>
  <si>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</si>
  <si>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</si>
  <si>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</si>
  <si>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</si>
  <si>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</si>
  <si>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</si>
  <si>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</si>
  <si>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</si>
  <si>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</si>
  <si>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</si>
  <si>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</si>
  <si>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</si>
  <si>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</si>
  <si>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</si>
  <si>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</si>
  <si>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</si>
  <si>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</si>
  <si>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</si>
  <si>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</si>
  <si>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</si>
  <si>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</si>
  <si>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</si>
  <si>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</si>
  <si>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</si>
  <si>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</si>
  <si>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</si>
  <si>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</si>
  <si>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</si>
  <si>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</si>
  <si>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</si>
  <si>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</si>
  <si>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</si>
  <si>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</si>
  <si>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</si>
  <si>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</si>
  <si>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</si>
  <si>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</si>
  <si>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</si>
  <si>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</si>
  <si>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</si>
  <si>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</si>
  <si>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</si>
  <si>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</si>
  <si>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</si>
  <si>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</si>
  <si>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</si>
  <si>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</si>
  <si>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</si>
  <si>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</si>
  <si>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</si>
  <si>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</si>
  <si>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</si>
  <si>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</si>
  <si>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</si>
  <si>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</si>
  <si>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</si>
  <si>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</si>
  <si>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</si>
  <si>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</si>
  <si>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</si>
  <si>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</si>
  <si>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</si>
  <si>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</si>
  <si>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</si>
  <si>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</si>
  <si>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</si>
  <si>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</si>
  <si>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</si>
  <si>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</si>
  <si>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</si>
  <si>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</si>
  <si>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</si>
  <si>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</si>
  <si>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</si>
  <si>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</si>
  <si>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</si>
  <si>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</si>
  <si>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</si>
  <si>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</si>
  <si>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</si>
  <si>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</si>
  <si>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</si>
  <si>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</si>
  <si>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</si>
  <si>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</si>
  <si>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</si>
  <si>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</si>
  <si>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</si>
  <si>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</si>
  <si>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</si>
  <si>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</si>
  <si>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</si>
  <si>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</si>
  <si>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</si>
  <si>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</si>
  <si>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</si>
  <si>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</si>
  <si>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</si>
  <si>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</si>
  <si>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</si>
  <si>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</si>
  <si>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</si>
  <si>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</si>
  <si>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</si>
  <si>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</si>
  <si>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</si>
  <si>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</si>
  <si>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</si>
  <si>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</si>
  <si>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</si>
  <si>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</si>
  <si>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</si>
  <si>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</si>
  <si>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</si>
  <si>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</si>
  <si>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</si>
  <si>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</si>
  <si>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</si>
  <si>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</si>
  <si>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</si>
  <si>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</si>
  <si>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</si>
  <si>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</si>
  <si>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</si>
  <si>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</si>
  <si>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</si>
  <si>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</si>
  <si>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</si>
  <si>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</si>
  <si>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</si>
  <si>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</si>
  <si>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</si>
  <si>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</si>
  <si>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</si>
  <si>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</si>
  <si>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</si>
  <si>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</si>
  <si>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</si>
  <si>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</si>
  <si>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</si>
  <si>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</si>
  <si>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</si>
  <si>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</si>
  <si>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</si>
  <si>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</si>
  <si>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</si>
  <si>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</si>
  <si>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</si>
  <si>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</si>
  <si>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</si>
  <si>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</si>
  <si>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</si>
  <si>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</si>
  <si>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</si>
  <si>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</si>
  <si>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</si>
  <si>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</si>
  <si>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</si>
  <si>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</si>
  <si>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</si>
  <si>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</si>
  <si>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</si>
  <si>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</si>
  <si>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</si>
  <si>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</si>
  <si>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</si>
  <si>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</si>
  <si>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</si>
  <si>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</si>
  <si>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</si>
  <si>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</si>
  <si>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</si>
  <si>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</si>
  <si>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</si>
  <si>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</si>
  <si>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</si>
  <si>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</si>
  <si>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</si>
  <si>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</si>
  <si>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</si>
  <si>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</si>
  <si>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</si>
  <si>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</si>
  <si>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</si>
  <si>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</si>
  <si>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</si>
  <si>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</si>
  <si>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</si>
  <si>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</si>
  <si>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</si>
  <si>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</si>
  <si>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</si>
  <si>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</si>
  <si>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</si>
  <si>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</si>
  <si>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</si>
  <si>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</si>
  <si>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</si>
  <si>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</si>
  <si>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</si>
  <si>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</si>
  <si>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</si>
  <si>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</si>
  <si>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</si>
  <si>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</si>
  <si>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</si>
  <si>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</si>
  <si>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</si>
  <si>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</si>
  <si>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</si>
  <si>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</si>
  <si>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</si>
  <si>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</si>
  <si>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</si>
  <si>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</si>
  <si>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</si>
  <si>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</si>
  <si>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</si>
  <si>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</si>
  <si>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</si>
  <si>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</si>
  <si>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</si>
  <si>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</si>
  <si>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</si>
  <si>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</si>
  <si>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</si>
  <si>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</si>
  <si>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</si>
  <si>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</si>
  <si>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</si>
  <si>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</si>
  <si>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</si>
  <si>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</si>
  <si>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</si>
  <si>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</si>
  <si>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</si>
  <si>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</si>
  <si>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</si>
  <si>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</si>
  <si>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</si>
  <si>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</si>
  <si>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</si>
  <si>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</si>
  <si>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</si>
  <si>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</si>
  <si>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</si>
  <si>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</si>
  <si>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</si>
  <si>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</si>
  <si>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</si>
  <si>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</si>
  <si>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</si>
  <si>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</si>
  <si>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</si>
  <si>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</si>
  <si>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</si>
  <si>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</si>
  <si>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</si>
  <si>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</si>
  <si>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</si>
  <si>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</si>
  <si>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</si>
  <si>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</si>
  <si>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</si>
  <si>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</si>
  <si>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</si>
  <si>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</si>
  <si>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</si>
  <si>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</si>
  <si>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</si>
  <si>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</si>
  <si>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</si>
  <si>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</si>
  <si>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</si>
  <si>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</si>
  <si>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</si>
  <si>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</si>
  <si>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</si>
  <si>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</si>
  <si>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</si>
  <si>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</si>
  <si>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</si>
  <si>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</si>
  <si>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</si>
  <si>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</si>
  <si>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</si>
  <si>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</si>
  <si>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</si>
  <si>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</si>
  <si>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</si>
  <si>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</si>
  <si>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</si>
  <si>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</si>
  <si>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</si>
  <si>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</si>
  <si>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</si>
  <si>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</si>
  <si>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</si>
  <si>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</si>
  <si>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</si>
  <si>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</si>
  <si>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</si>
  <si>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</si>
  <si>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</si>
  <si>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</si>
  <si>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</si>
  <si>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</si>
  <si>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</si>
  <si>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</si>
  <si>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</si>
  <si>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</si>
  <si>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</si>
  <si>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</si>
  <si>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</si>
  <si>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</si>
  <si>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</si>
  <si>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</si>
  <si>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</si>
  <si>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</si>
  <si>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</si>
  <si>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</si>
  <si>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</si>
  <si>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</si>
  <si>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</si>
  <si>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</si>
  <si>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</si>
  <si>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</si>
  <si>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</si>
  <si>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</si>
  <si>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</si>
  <si>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</si>
  <si>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</si>
  <si>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</si>
  <si>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</si>
  <si>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</si>
  <si>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</si>
  <si>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</si>
  <si>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</si>
  <si>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</si>
  <si>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</si>
  <si>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</si>
  <si>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</si>
  <si>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</si>
  <si>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</si>
  <si>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</si>
  <si>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</si>
  <si>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</si>
  <si>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</si>
  <si>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</si>
  <si>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</si>
  <si>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</si>
  <si>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</si>
  <si>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</si>
  <si>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</si>
  <si>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</si>
  <si>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</si>
  <si>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</si>
  <si>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</si>
  <si>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</si>
  <si>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</si>
  <si>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</si>
  <si>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</si>
  <si>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</si>
  <si>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</si>
  <si>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</si>
  <si>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</si>
  <si>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</si>
  <si>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</si>
  <si>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</si>
  <si>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</si>
  <si>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</si>
  <si>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</si>
  <si>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</si>
  <si>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</si>
  <si>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</si>
  <si>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</si>
  <si>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</si>
  <si>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</si>
  <si>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</si>
  <si>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</si>
  <si>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</si>
  <si>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</si>
  <si>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</si>
  <si>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</si>
  <si>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</si>
  <si>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</si>
  <si>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</si>
  <si>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</si>
  <si>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</si>
  <si>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</si>
  <si>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</si>
  <si>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</si>
  <si>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</si>
  <si>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</si>
  <si>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</si>
  <si>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</si>
  <si>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</si>
  <si>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</si>
  <si>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</si>
  <si>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</si>
  <si>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</si>
  <si>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</si>
  <si>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</si>
  <si>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</si>
  <si>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</si>
  <si>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</si>
  <si>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</si>
  <si>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</si>
  <si>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</si>
  <si>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</si>
  <si>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</si>
  <si>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</si>
  <si>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</si>
  <si>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</si>
  <si>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</si>
  <si>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</si>
  <si>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</si>
  <si>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</si>
  <si>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</si>
  <si>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</si>
  <si>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</si>
  <si>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</si>
  <si>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</si>
  <si>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</si>
  <si>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</si>
  <si>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</si>
  <si>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</si>
  <si>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</si>
  <si>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</si>
  <si>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</si>
  <si>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</si>
  <si>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</si>
  <si>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</si>
  <si>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</si>
  <si>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</si>
  <si>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</si>
  <si>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</si>
  <si>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</si>
  <si>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</si>
  <si>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</si>
  <si>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</si>
  <si>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</si>
  <si>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</si>
  <si>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</si>
  <si>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</si>
  <si>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</si>
  <si>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</si>
  <si>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</si>
  <si>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</si>
  <si>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</si>
  <si>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</si>
  <si>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</si>
  <si>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</si>
  <si>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</si>
  <si>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</si>
  <si>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</si>
  <si>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</si>
  <si>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</si>
  <si>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</si>
  <si>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</si>
  <si>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</si>
  <si>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</si>
  <si>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</si>
  <si>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</si>
  <si>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</si>
  <si>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</si>
  <si>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</si>
  <si>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</si>
  <si>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</si>
  <si>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</si>
  <si>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</si>
  <si>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</si>
  <si>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</si>
  <si>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</si>
  <si>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</si>
  <si>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</si>
  <si>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</si>
  <si>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</si>
  <si>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</si>
  <si>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</si>
  <si>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</si>
  <si>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</si>
  <si>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</si>
  <si>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</si>
  <si>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</si>
  <si>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</si>
  <si>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</si>
  <si>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</si>
  <si>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</si>
  <si>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</si>
  <si>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</si>
  <si>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</si>
  <si>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</si>
  <si>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</si>
  <si>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</si>
  <si>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</si>
  <si>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</si>
  <si>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</si>
  <si>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</si>
  <si>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</si>
  <si>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</si>
  <si>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</si>
  <si>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</si>
  <si>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</si>
  <si>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</si>
  <si>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</si>
  <si>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</si>
  <si>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</si>
  <si>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</si>
  <si>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</si>
  <si>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</si>
  <si>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</si>
  <si>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</si>
  <si>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</si>
  <si>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</si>
  <si>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</si>
  <si>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</si>
  <si>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</si>
  <si>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</si>
  <si>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</si>
  <si>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</si>
  <si>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</si>
  <si>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</si>
  <si>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</si>
  <si>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</si>
  <si>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</si>
  <si>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</si>
  <si>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</si>
  <si>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</si>
  <si>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</si>
  <si>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</si>
  <si>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</si>
  <si>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</si>
  <si>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</si>
  <si>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</si>
  <si>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</si>
  <si>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</si>
  <si>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</si>
  <si>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</si>
  <si>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</si>
  <si>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</si>
  <si>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</si>
  <si>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</si>
  <si>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</si>
  <si>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</si>
  <si>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</si>
  <si>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</si>
  <si>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</si>
  <si>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</si>
  <si>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</si>
  <si>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</si>
  <si>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</si>
  <si>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</si>
  <si>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</si>
  <si>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</si>
  <si>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</si>
  <si>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</si>
  <si>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</si>
  <si>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</si>
  <si>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</si>
  <si>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</si>
  <si>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</si>
  <si>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</si>
  <si>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</si>
  <si>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</si>
  <si>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</si>
  <si>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</si>
  <si>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</si>
  <si>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</si>
  <si>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</si>
  <si>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</si>
  <si>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</si>
  <si>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</si>
  <si>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</si>
  <si>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</si>
  <si>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</si>
  <si>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</si>
  <si>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</si>
  <si>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</si>
  <si>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</si>
  <si>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</si>
  <si>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</si>
  <si>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</si>
  <si>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</si>
  <si>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</si>
  <si>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</si>
  <si>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</si>
  <si>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</si>
  <si>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</si>
  <si>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</si>
  <si>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</si>
  <si>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</si>
  <si>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</si>
  <si>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</si>
  <si>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</si>
  <si>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</si>
  <si>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</si>
  <si>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</si>
  <si>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</si>
  <si>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</si>
  <si>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</si>
  <si>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</si>
  <si>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</si>
  <si>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</si>
  <si>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</si>
  <si>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</si>
  <si>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</si>
  <si>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</si>
  <si>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</si>
  <si>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</si>
  <si>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</si>
  <si>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</si>
  <si>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</si>
  <si>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1 to 2 hours</t>
  </si>
  <si>
    <t>30 to 60 mins</t>
  </si>
  <si>
    <t>More than 2 hours</t>
  </si>
  <si>
    <t>Under 10 mins</t>
  </si>
  <si>
    <t>10 to 30 mins</t>
  </si>
  <si>
    <t>Data returned for Call Count, Cleveland, Female (First 1000 rows).</t>
  </si>
  <si>
    <t>Total</t>
  </si>
  <si>
    <t>Rep Summary</t>
  </si>
  <si>
    <t>% of calls</t>
  </si>
  <si>
    <t>Call rank</t>
  </si>
  <si>
    <t>Amount rank</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</si>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</sst>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14" fontId="0" fillId="0" borderId="0" xfId="0" applyNumberFormat="1"/>
    <xf numFmtId="0" fontId="0" fillId="0" borderId="0" xfId="0" applyAlignment="1">
      <alignment horizontal="left" indent="1"/>
    </xf>
    <xf numFmtId="0" fontId="0" fillId="5" borderId="10" xfId="0" applyFill="1" applyBorder="1"/>
    <xf numFmtId="0" fontId="5" fillId="5" borderId="13" xfId="0" applyFont="1" applyFill="1" applyBorder="1"/>
    <xf numFmtId="0" fontId="5" fillId="5" borderId="0" xfId="0" applyFont="1" applyFill="1"/>
    <xf numFmtId="0" fontId="5" fillId="5" borderId="14" xfId="0" applyFont="1" applyFill="1" applyBorder="1"/>
    <xf numFmtId="168" fontId="5" fillId="5" borderId="0" xfId="0" applyNumberFormat="1" applyFont="1" applyFill="1"/>
    <xf numFmtId="168" fontId="5" fillId="5" borderId="14" xfId="0" applyNumberFormat="1" applyFont="1" applyFill="1" applyBorder="1"/>
    <xf numFmtId="0" fontId="5" fillId="5" borderId="15" xfId="0" applyFont="1" applyFill="1" applyBorder="1"/>
    <xf numFmtId="168" fontId="5" fillId="5" borderId="16" xfId="0" applyNumberFormat="1" applyFont="1" applyFill="1" applyBorder="1"/>
    <xf numFmtId="168" fontId="5" fillId="5" borderId="17" xfId="0" applyNumberFormat="1" applyFont="1" applyFill="1" applyBorder="1"/>
    <xf numFmtId="0" fontId="1" fillId="5" borderId="11" xfId="0" applyFont="1" applyFill="1" applyBorder="1"/>
    <xf numFmtId="0" fontId="1" fillId="5" borderId="12" xfId="0" applyFont="1" applyFill="1" applyBorder="1"/>
    <xf numFmtId="0" fontId="1" fillId="5" borderId="13" xfId="0" applyFont="1" applyFill="1" applyBorder="1"/>
    <xf numFmtId="9" fontId="0" fillId="0" borderId="0" xfId="1" applyFont="1"/>
    <xf numFmtId="0" fontId="0" fillId="3" borderId="0" xfId="0" applyFill="1" applyAlignment="1">
      <alignment horizontal="center"/>
    </xf>
  </cellXfs>
  <cellStyles count="2">
    <cellStyle name="Normal" xfId="0" builtinId="0"/>
    <cellStyle name="Percent" xfId="1" builtinId="5"/>
  </cellStyles>
  <dxfs count="20">
    <dxf>
      <fill>
        <patternFill>
          <bgColor theme="9" tint="0.59996337778862885"/>
        </patternFill>
      </fill>
      <border>
        <left style="thin">
          <color theme="1"/>
        </left>
        <right style="thin">
          <color theme="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dd/mm/yyyy"/>
    </dxf>
    <dxf>
      <fill>
        <patternFill patternType="solid">
          <bgColor theme="9" tint="0.39997558519241921"/>
        </patternFill>
      </fill>
    </dxf>
    <dxf>
      <font>
        <b/>
        <color theme="1"/>
      </font>
      <border>
        <vertical/>
        <horizontal/>
      </border>
    </dxf>
    <dxf>
      <font>
        <color theme="1"/>
      </font>
      <border>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9"/>
    </tableStyle>
    <tableStyle name="SlicerStyleDark5 2" pivot="0" table="0" count="10" xr9:uid="{A689DD61-FC61-4E2F-B22B-FDBAF0197F53}">
      <tableStyleElement type="wholeTable" dxfId="18"/>
      <tableStyleElement type="headerRow" dxfId="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name val="Aptos ExtraBold"/>
            <family val="2"/>
            <scheme val="major"/>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theme="0" tint="-0.1499679555650502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Project.xlsx]Pivots!Weekday trend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solidFill>
              <a:schemeClr val="accent6">
                <a:lumMod val="60000"/>
                <a:lumOff val="40000"/>
              </a:schemeClr>
            </a:solidFill>
          </a:ln>
          <a:effectLst/>
        </c:spPr>
      </c:pivotFmt>
    </c:pivotFmts>
    <c:plotArea>
      <c:layout/>
      <c:barChart>
        <c:barDir val="bar"/>
        <c:grouping val="clustered"/>
        <c:varyColors val="0"/>
        <c:ser>
          <c:idx val="0"/>
          <c:order val="0"/>
          <c:tx>
            <c:strRef>
              <c:f>Pivots!$H$20</c:f>
              <c:strCache>
                <c:ptCount val="1"/>
                <c:pt idx="0">
                  <c:v>Total</c:v>
                </c:pt>
              </c:strCache>
            </c:strRef>
          </c:tx>
          <c:spPr>
            <a:solidFill>
              <a:schemeClr val="accent6">
                <a:lumMod val="60000"/>
                <a:lumOff val="40000"/>
              </a:schemeClr>
            </a:solidFill>
            <a:ln>
              <a:solidFill>
                <a:schemeClr val="accent6">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Pivots!$G$21:$G$28</c:f>
              <c:strCache>
                <c:ptCount val="7"/>
                <c:pt idx="0">
                  <c:v>Sunday</c:v>
                </c:pt>
                <c:pt idx="1">
                  <c:v>Monday</c:v>
                </c:pt>
                <c:pt idx="2">
                  <c:v>Tuesday</c:v>
                </c:pt>
                <c:pt idx="3">
                  <c:v>Wednesday</c:v>
                </c:pt>
                <c:pt idx="4">
                  <c:v>Thursday</c:v>
                </c:pt>
                <c:pt idx="5">
                  <c:v>Friday</c:v>
                </c:pt>
                <c:pt idx="6">
                  <c:v>Saturday</c:v>
                </c:pt>
              </c:strCache>
            </c:strRef>
          </c:cat>
          <c:val>
            <c:numRef>
              <c:f>Pivots!$H$21:$H$28</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53D0-48CE-B25E-D17C36BF0A7F}"/>
            </c:ext>
          </c:extLst>
        </c:ser>
        <c:dLbls>
          <c:showLegendKey val="0"/>
          <c:showVal val="0"/>
          <c:showCatName val="0"/>
          <c:showSerName val="0"/>
          <c:showPercent val="0"/>
          <c:showBubbleSize val="0"/>
        </c:dLbls>
        <c:gapWidth val="25"/>
        <c:axId val="1322711663"/>
        <c:axId val="319882767"/>
      </c:barChart>
      <c:catAx>
        <c:axId val="1322711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19882767"/>
        <c:crosses val="autoZero"/>
        <c:auto val="1"/>
        <c:lblAlgn val="ctr"/>
        <c:lblOffset val="100"/>
        <c:noMultiLvlLbl val="0"/>
      </c:catAx>
      <c:valAx>
        <c:axId val="31988276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2271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Project.xlsx]Pivots!Monthly trend</c:name>
    <c:fmtId val="6"/>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b="1">
                <a:solidFill>
                  <a:schemeClr val="accent6"/>
                </a:solidFill>
              </a:rPr>
              <a:t>Call Trend</a:t>
            </a:r>
          </a:p>
        </c:rich>
      </c:tx>
      <c:layout>
        <c:manualLayout>
          <c:xMode val="edge"/>
          <c:yMode val="edge"/>
          <c:x val="7.1527777777777773E-2"/>
          <c:y val="2.7777777777777776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83500">
                <a:schemeClr val="accent6"/>
              </a:gs>
              <a:gs pos="100000">
                <a:schemeClr val="accent6">
                  <a:alpha val="50000"/>
                </a:schemeClr>
              </a:gs>
              <a:gs pos="0">
                <a:schemeClr val="accent6">
                  <a:lumMod val="20000"/>
                  <a:lumOff val="8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diamond"/>
          <c:size val="7"/>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7"/>
        <c:spPr>
          <a:ln w="28575" cap="rnd">
            <a:solidFill>
              <a:schemeClr val="accent6"/>
            </a:solidFill>
            <a:round/>
          </a:ln>
          <a:effectLst/>
        </c:spPr>
        <c:marker>
          <c:symbol val="diamond"/>
          <c:size val="7"/>
          <c:spPr>
            <a:solidFill>
              <a:schemeClr val="accent6"/>
            </a:solidFill>
            <a:ln w="9525">
              <a:solidFill>
                <a:schemeClr val="accent6"/>
              </a:solidFill>
            </a:ln>
            <a:effectLst/>
          </c:spPr>
        </c:marker>
      </c:pivotFmt>
    </c:pivotFmts>
    <c:plotArea>
      <c:layout/>
      <c:areaChart>
        <c:grouping val="standard"/>
        <c:varyColors val="0"/>
        <c:ser>
          <c:idx val="1"/>
          <c:order val="1"/>
          <c:tx>
            <c:strRef>
              <c:f>Pivots!$C$18</c:f>
              <c:strCache>
                <c:ptCount val="1"/>
                <c:pt idx="0">
                  <c:v>Call Count2</c:v>
                </c:pt>
              </c:strCache>
            </c:strRef>
          </c:tx>
          <c:spPr>
            <a:gradFill flip="none" rotWithShape="1">
              <a:gsLst>
                <a:gs pos="83500">
                  <a:schemeClr val="accent6"/>
                </a:gs>
                <a:gs pos="100000">
                  <a:schemeClr val="accent6">
                    <a:alpha val="50000"/>
                  </a:schemeClr>
                </a:gs>
                <a:gs pos="0">
                  <a:schemeClr val="accent6">
                    <a:lumMod val="20000"/>
                    <a:lumOff val="80000"/>
                  </a:schemeClr>
                </a:gs>
              </a:gsLst>
              <a:lin ang="16200000" scaled="1"/>
              <a:tileRect/>
            </a:gradFill>
            <a:ln>
              <a:noFill/>
            </a:ln>
            <a:effectLst/>
          </c:spP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Pivots!$C$19:$C$31</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4864-4FCB-909B-5C16C08C21DD}"/>
            </c:ext>
          </c:extLst>
        </c:ser>
        <c:dLbls>
          <c:showLegendKey val="0"/>
          <c:showVal val="0"/>
          <c:showCatName val="0"/>
          <c:showSerName val="0"/>
          <c:showPercent val="0"/>
          <c:showBubbleSize val="0"/>
        </c:dLbls>
        <c:axId val="1744249168"/>
        <c:axId val="1354655504"/>
      </c:areaChart>
      <c:lineChart>
        <c:grouping val="standard"/>
        <c:varyColors val="0"/>
        <c:ser>
          <c:idx val="0"/>
          <c:order val="0"/>
          <c:tx>
            <c:strRef>
              <c:f>Pivots!$B$18</c:f>
              <c:strCache>
                <c:ptCount val="1"/>
                <c:pt idx="0">
                  <c:v>Call Count</c:v>
                </c:pt>
              </c:strCache>
            </c:strRef>
          </c:tx>
          <c:spPr>
            <a:ln w="28575" cap="rnd">
              <a:solidFill>
                <a:schemeClr val="accent6"/>
              </a:solidFill>
              <a:round/>
            </a:ln>
            <a:effectLst/>
          </c:spPr>
          <c:marker>
            <c:symbol val="diamond"/>
            <c:size val="7"/>
            <c:spPr>
              <a:solidFill>
                <a:schemeClr val="accent6"/>
              </a:solidFill>
              <a:ln w="9525">
                <a:solidFill>
                  <a:schemeClr val="accent6"/>
                </a:solidFill>
              </a:ln>
              <a:effectLst/>
            </c:spPr>
          </c:marker>
          <c:cat>
            <c:strRef>
              <c:f>Pivots!$A$19:$A$31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Pivots!$B$19:$B$31</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4864-4FCB-909B-5C16C08C21DD}"/>
            </c:ext>
          </c:extLst>
        </c:ser>
        <c:dLbls>
          <c:showLegendKey val="0"/>
          <c:showVal val="0"/>
          <c:showCatName val="0"/>
          <c:showSerName val="0"/>
          <c:showPercent val="0"/>
          <c:showBubbleSize val="0"/>
        </c:dLbls>
        <c:marker val="1"/>
        <c:smooth val="0"/>
        <c:axId val="1744249168"/>
        <c:axId val="1354655504"/>
      </c:lineChart>
      <c:catAx>
        <c:axId val="174424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54655504"/>
        <c:crosses val="autoZero"/>
        <c:auto val="1"/>
        <c:lblAlgn val="ctr"/>
        <c:lblOffset val="100"/>
        <c:noMultiLvlLbl val="0"/>
      </c:catAx>
      <c:valAx>
        <c:axId val="1354655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4424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59596323497189"/>
          <c:y val="0"/>
          <c:w val="0.7677447639176993"/>
          <c:h val="0.88428662955611037"/>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Pivots!$E$36:$E$40</c:f>
              <c:strCache>
                <c:ptCount val="5"/>
                <c:pt idx="0">
                  <c:v>R01</c:v>
                </c:pt>
                <c:pt idx="1">
                  <c:v>R02</c:v>
                </c:pt>
                <c:pt idx="2">
                  <c:v>R03</c:v>
                </c:pt>
                <c:pt idx="3">
                  <c:v>R04</c:v>
                </c:pt>
                <c:pt idx="4">
                  <c:v>R05</c:v>
                </c:pt>
              </c:strCache>
            </c:strRef>
          </c:cat>
          <c:val>
            <c:numRef>
              <c:f>Pivots!$F$36:$F$40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2285-4CA6-9EED-E0961D85B38E}"/>
            </c:ext>
          </c:extLst>
        </c:ser>
        <c:ser>
          <c:idx val="1"/>
          <c:order val="1"/>
          <c:tx>
            <c:strRef>
              <c:f>Pivots!$H$35</c:f>
              <c:strCache>
                <c:ptCount val="1"/>
                <c:pt idx="0">
                  <c:v>Sel. Calls</c:v>
                </c:pt>
              </c:strCache>
            </c:strRef>
          </c:tx>
          <c:spPr>
            <a:gradFill>
              <a:gsLst>
                <a:gs pos="0">
                  <a:schemeClr val="accent6">
                    <a:lumMod val="20000"/>
                    <a:lumOff val="80000"/>
                  </a:schemeClr>
                </a:gs>
                <a:gs pos="0">
                  <a:schemeClr val="accent6">
                    <a:lumMod val="40000"/>
                    <a:lumOff val="60000"/>
                  </a:schemeClr>
                </a:gs>
                <a:gs pos="0">
                  <a:schemeClr val="accent5"/>
                </a:gs>
                <a:gs pos="100000">
                  <a:schemeClr val="accent5">
                    <a:lumMod val="20000"/>
                    <a:lumOff val="80000"/>
                  </a:schemeClr>
                </a:gs>
              </a:gsLst>
              <a:lin ang="5400000" scaled="1"/>
            </a:gradFill>
            <a:ln>
              <a:noFill/>
            </a:ln>
            <a:effectLst/>
          </c:spPr>
          <c:invertIfNegative val="0"/>
          <c:dPt>
            <c:idx val="1"/>
            <c:invertIfNegative val="0"/>
            <c:bubble3D val="0"/>
            <c:spPr>
              <a:gradFill>
                <a:gsLst>
                  <a:gs pos="0">
                    <a:schemeClr val="accent6">
                      <a:lumMod val="20000"/>
                      <a:lumOff val="80000"/>
                    </a:schemeClr>
                  </a:gs>
                  <a:gs pos="0">
                    <a:schemeClr val="accent6">
                      <a:lumMod val="40000"/>
                      <a:lumOff val="60000"/>
                    </a:schemeClr>
                  </a:gs>
                  <a:gs pos="0">
                    <a:schemeClr val="accent5"/>
                  </a:gs>
                  <a:gs pos="100000">
                    <a:schemeClr val="accent5">
                      <a:lumMod val="20000"/>
                      <a:lumOff val="80000"/>
                    </a:schemeClr>
                  </a:gs>
                </a:gsLst>
                <a:lin ang="5400000" scaled="1"/>
              </a:gradFill>
              <a:ln>
                <a:noFill/>
              </a:ln>
              <a:effectLst/>
            </c:spPr>
            <c:extLst>
              <c:ext xmlns:c16="http://schemas.microsoft.com/office/drawing/2014/chart" uri="{C3380CC4-5D6E-409C-BE32-E72D297353CC}">
                <c16:uniqueId val="{00000002-2285-4CA6-9EED-E0961D85B38E}"/>
              </c:ext>
            </c:extLst>
          </c:dPt>
          <c:val>
            <c:numRef>
              <c:f>Pivots!$H$36:$H$40</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3-2285-4CA6-9EED-E0961D85B38E}"/>
            </c:ext>
          </c:extLst>
        </c:ser>
        <c:dLbls>
          <c:showLegendKey val="0"/>
          <c:showVal val="0"/>
          <c:showCatName val="0"/>
          <c:showSerName val="0"/>
          <c:showPercent val="0"/>
          <c:showBubbleSize val="0"/>
        </c:dLbls>
        <c:gapWidth val="25"/>
        <c:overlap val="100"/>
        <c:axId val="719906895"/>
        <c:axId val="318942191"/>
      </c:barChart>
      <c:catAx>
        <c:axId val="71990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18942191"/>
        <c:crosses val="autoZero"/>
        <c:auto val="1"/>
        <c:lblAlgn val="ctr"/>
        <c:lblOffset val="100"/>
        <c:noMultiLvlLbl val="0"/>
      </c:catAx>
      <c:valAx>
        <c:axId val="318942191"/>
        <c:scaling>
          <c:orientation val="minMax"/>
          <c:min val="0"/>
        </c:scaling>
        <c:delete val="1"/>
        <c:axPos val="b"/>
        <c:numFmt formatCode="General" sourceLinked="1"/>
        <c:majorTickMark val="none"/>
        <c:minorTickMark val="none"/>
        <c:tickLblPos val="nextTo"/>
        <c:crossAx val="71990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305093659393969E-2"/>
          <c:y val="1.0704621151235647E-2"/>
          <c:w val="0.87110732829111104"/>
          <c:h val="0.8822491673364079"/>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Pivots!$E$36:$E$40</c:f>
              <c:strCache>
                <c:ptCount val="5"/>
                <c:pt idx="0">
                  <c:v>R01</c:v>
                </c:pt>
                <c:pt idx="1">
                  <c:v>R02</c:v>
                </c:pt>
                <c:pt idx="2">
                  <c:v>R03</c:v>
                </c:pt>
                <c:pt idx="3">
                  <c:v>R04</c:v>
                </c:pt>
                <c:pt idx="4">
                  <c:v>R05</c:v>
                </c:pt>
              </c:strCache>
            </c:strRef>
          </c:cat>
          <c:val>
            <c:numRef>
              <c:f>Pivots!$G$36:$G$40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607-4A85-AE49-C53CF298E9F6}"/>
            </c:ext>
          </c:extLst>
        </c:ser>
        <c:ser>
          <c:idx val="1"/>
          <c:order val="1"/>
          <c:tx>
            <c:strRef>
              <c:f>Pivots!$I$35</c:f>
              <c:strCache>
                <c:ptCount val="1"/>
                <c:pt idx="0">
                  <c:v>Sel. Amount</c:v>
                </c:pt>
              </c:strCache>
            </c:strRef>
          </c:tx>
          <c:spPr>
            <a:gradFill>
              <a:gsLst>
                <a:gs pos="0">
                  <a:schemeClr val="accent6">
                    <a:lumMod val="20000"/>
                    <a:lumOff val="80000"/>
                  </a:schemeClr>
                </a:gs>
                <a:gs pos="0">
                  <a:schemeClr val="accent6">
                    <a:lumMod val="40000"/>
                    <a:lumOff val="60000"/>
                  </a:schemeClr>
                </a:gs>
                <a:gs pos="0">
                  <a:schemeClr val="accent6">
                    <a:lumMod val="75000"/>
                  </a:schemeClr>
                </a:gs>
                <a:gs pos="100000">
                  <a:schemeClr val="accent5">
                    <a:lumMod val="20000"/>
                    <a:lumOff val="80000"/>
                  </a:schemeClr>
                </a:gs>
              </a:gsLst>
              <a:lin ang="5400000" scaled="1"/>
            </a:gradFill>
            <a:ln>
              <a:noFill/>
            </a:ln>
            <a:effectLst/>
          </c:spPr>
          <c:invertIfNegative val="0"/>
          <c:dPt>
            <c:idx val="1"/>
            <c:invertIfNegative val="0"/>
            <c:bubble3D val="0"/>
            <c:spPr>
              <a:gradFill>
                <a:gsLst>
                  <a:gs pos="0">
                    <a:schemeClr val="accent6">
                      <a:lumMod val="20000"/>
                      <a:lumOff val="80000"/>
                    </a:schemeClr>
                  </a:gs>
                  <a:gs pos="0">
                    <a:schemeClr val="accent6">
                      <a:lumMod val="40000"/>
                      <a:lumOff val="60000"/>
                    </a:schemeClr>
                  </a:gs>
                  <a:gs pos="0">
                    <a:schemeClr val="accent6">
                      <a:lumMod val="75000"/>
                    </a:schemeClr>
                  </a:gs>
                  <a:gs pos="100000">
                    <a:schemeClr val="accent5">
                      <a:lumMod val="20000"/>
                      <a:lumOff val="80000"/>
                    </a:schemeClr>
                  </a:gs>
                </a:gsLst>
                <a:lin ang="5400000" scaled="1"/>
              </a:gradFill>
              <a:ln>
                <a:noFill/>
              </a:ln>
              <a:effectLst/>
            </c:spPr>
            <c:extLst>
              <c:ext xmlns:c16="http://schemas.microsoft.com/office/drawing/2014/chart" uri="{C3380CC4-5D6E-409C-BE32-E72D297353CC}">
                <c16:uniqueId val="{00000002-9607-4A85-AE49-C53CF298E9F6}"/>
              </c:ext>
            </c:extLst>
          </c:dPt>
          <c:val>
            <c:numRef>
              <c:f>Pivots!$I$36:$I$40</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3-9607-4A85-AE49-C53CF298E9F6}"/>
            </c:ext>
          </c:extLst>
        </c:ser>
        <c:dLbls>
          <c:showLegendKey val="0"/>
          <c:showVal val="0"/>
          <c:showCatName val="0"/>
          <c:showSerName val="0"/>
          <c:showPercent val="0"/>
          <c:showBubbleSize val="0"/>
        </c:dLbls>
        <c:gapWidth val="25"/>
        <c:overlap val="100"/>
        <c:axId val="1322699135"/>
        <c:axId val="318971471"/>
      </c:barChart>
      <c:catAx>
        <c:axId val="1322699135"/>
        <c:scaling>
          <c:orientation val="minMax"/>
        </c:scaling>
        <c:delete val="1"/>
        <c:axPos val="l"/>
        <c:numFmt formatCode="General" sourceLinked="1"/>
        <c:majorTickMark val="none"/>
        <c:minorTickMark val="none"/>
        <c:tickLblPos val="nextTo"/>
        <c:crossAx val="318971471"/>
        <c:crosses val="autoZero"/>
        <c:auto val="1"/>
        <c:lblAlgn val="ctr"/>
        <c:lblOffset val="100"/>
        <c:noMultiLvlLbl val="0"/>
      </c:catAx>
      <c:valAx>
        <c:axId val="318971471"/>
        <c:scaling>
          <c:orientation val="minMax"/>
        </c:scaling>
        <c:delete val="1"/>
        <c:axPos val="b"/>
        <c:numFmt formatCode="\$#,###.0,&quot;k&quot;" sourceLinked="1"/>
        <c:majorTickMark val="none"/>
        <c:minorTickMark val="none"/>
        <c:tickLblPos val="nextTo"/>
        <c:crossAx val="13226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solidFill>
              </a:rPr>
              <a:t>Male</a:t>
            </a:r>
            <a:r>
              <a:rPr lang="en-US"/>
              <a:t> vs </a:t>
            </a:r>
            <a:r>
              <a:rPr lang="en-US">
                <a:solidFill>
                  <a:schemeClr val="accent5"/>
                </a:solidFill>
              </a:rPr>
              <a:t>Female</a:t>
            </a:r>
            <a:r>
              <a:rPr lang="en-US"/>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Pivots!$B$51:$B$52</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Pivots!$A$53:$A$56</c:f>
              <c:strCache>
                <c:ptCount val="3"/>
                <c:pt idx="0">
                  <c:v>Cincinnati</c:v>
                </c:pt>
                <c:pt idx="1">
                  <c:v>Cleveland</c:v>
                </c:pt>
                <c:pt idx="2">
                  <c:v>Columbus</c:v>
                </c:pt>
              </c:strCache>
            </c:strRef>
          </c:cat>
          <c:val>
            <c:numRef>
              <c:f>Pivots!$B$53:$B$56</c:f>
              <c:numCache>
                <c:formatCode>#,##0</c:formatCode>
                <c:ptCount val="3"/>
                <c:pt idx="0">
                  <c:v>144</c:v>
                </c:pt>
                <c:pt idx="1">
                  <c:v>326</c:v>
                </c:pt>
                <c:pt idx="2">
                  <c:v>129</c:v>
                </c:pt>
              </c:numCache>
            </c:numRef>
          </c:val>
          <c:extLst>
            <c:ext xmlns:c16="http://schemas.microsoft.com/office/drawing/2014/chart" uri="{C3380CC4-5D6E-409C-BE32-E72D297353CC}">
              <c16:uniqueId val="{00000000-6612-4F4B-B5CB-C226309C0D5C}"/>
            </c:ext>
          </c:extLst>
        </c:ser>
        <c:ser>
          <c:idx val="1"/>
          <c:order val="1"/>
          <c:tx>
            <c:strRef>
              <c:f>Pivots!$C$51:$C$52</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Pivots!$A$53:$A$56</c:f>
              <c:strCache>
                <c:ptCount val="3"/>
                <c:pt idx="0">
                  <c:v>Cincinnati</c:v>
                </c:pt>
                <c:pt idx="1">
                  <c:v>Cleveland</c:v>
                </c:pt>
                <c:pt idx="2">
                  <c:v>Columbus</c:v>
                </c:pt>
              </c:strCache>
            </c:strRef>
          </c:cat>
          <c:val>
            <c:numRef>
              <c:f>Pivots!$C$53:$C$56</c:f>
              <c:numCache>
                <c:formatCode>#,##0</c:formatCode>
                <c:ptCount val="3"/>
                <c:pt idx="0">
                  <c:v>132</c:v>
                </c:pt>
                <c:pt idx="1">
                  <c:v>63</c:v>
                </c:pt>
                <c:pt idx="2">
                  <c:v>206</c:v>
                </c:pt>
              </c:numCache>
            </c:numRef>
          </c:val>
          <c:extLst>
            <c:ext xmlns:c16="http://schemas.microsoft.com/office/drawing/2014/chart" uri="{C3380CC4-5D6E-409C-BE32-E72D297353CC}">
              <c16:uniqueId val="{00000001-6612-4F4B-B5CB-C226309C0D5C}"/>
            </c:ext>
          </c:extLst>
        </c:ser>
        <c:dLbls>
          <c:dLblPos val="ctr"/>
          <c:showLegendKey val="0"/>
          <c:showVal val="1"/>
          <c:showCatName val="0"/>
          <c:showSerName val="0"/>
          <c:showPercent val="0"/>
          <c:showBubbleSize val="0"/>
        </c:dLbls>
        <c:gapWidth val="25"/>
        <c:overlap val="100"/>
        <c:axId val="713009775"/>
        <c:axId val="318878351"/>
      </c:barChart>
      <c:catAx>
        <c:axId val="7130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18878351"/>
        <c:crosses val="autoZero"/>
        <c:auto val="1"/>
        <c:lblAlgn val="ctr"/>
        <c:lblOffset val="100"/>
        <c:noMultiLvlLbl val="0"/>
      </c:catAx>
      <c:valAx>
        <c:axId val="318878351"/>
        <c:scaling>
          <c:orientation val="minMax"/>
        </c:scaling>
        <c:delete val="1"/>
        <c:axPos val="l"/>
        <c:numFmt formatCode="0%" sourceLinked="1"/>
        <c:majorTickMark val="none"/>
        <c:minorTickMark val="none"/>
        <c:tickLblPos val="nextTo"/>
        <c:crossAx val="71300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Project.xlsx]Pivots!rep satisfaction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Pivots!$H$51</c:f>
              <c:strCache>
                <c:ptCount val="1"/>
                <c:pt idx="0">
                  <c:v>Total</c:v>
                </c:pt>
              </c:strCache>
            </c:strRef>
          </c:tx>
          <c:spPr>
            <a:solidFill>
              <a:schemeClr val="accent1"/>
            </a:solidFill>
            <a:ln>
              <a:noFill/>
            </a:ln>
            <a:effectLst/>
          </c:spPr>
          <c:invertIfNegative val="0"/>
          <c:cat>
            <c:strRef>
              <c:f>Pivots!$G$52:$G$57</c:f>
              <c:strCache>
                <c:ptCount val="5"/>
                <c:pt idx="0">
                  <c:v>1</c:v>
                </c:pt>
                <c:pt idx="1">
                  <c:v>2</c:v>
                </c:pt>
                <c:pt idx="2">
                  <c:v>3</c:v>
                </c:pt>
                <c:pt idx="3">
                  <c:v>4</c:v>
                </c:pt>
                <c:pt idx="4">
                  <c:v>5</c:v>
                </c:pt>
              </c:strCache>
            </c:strRef>
          </c:cat>
          <c:val>
            <c:numRef>
              <c:f>Pivots!$H$52:$H$57</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40D4-4D2D-9F9B-4DB8CB159BE4}"/>
            </c:ext>
          </c:extLst>
        </c:ser>
        <c:dLbls>
          <c:showLegendKey val="0"/>
          <c:showVal val="0"/>
          <c:showCatName val="0"/>
          <c:showSerName val="0"/>
          <c:showPercent val="0"/>
          <c:showBubbleSize val="0"/>
        </c:dLbls>
        <c:gapWidth val="25"/>
        <c:overlap val="-27"/>
        <c:axId val="719900863"/>
        <c:axId val="318891791"/>
      </c:barChart>
      <c:catAx>
        <c:axId val="7199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18891791"/>
        <c:crosses val="autoZero"/>
        <c:auto val="1"/>
        <c:lblAlgn val="ctr"/>
        <c:lblOffset val="100"/>
        <c:noMultiLvlLbl val="0"/>
      </c:catAx>
      <c:valAx>
        <c:axId val="318891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199008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chart" Target="../charts/chart3.xml"/><Relationship Id="rId3" Type="http://schemas.openxmlformats.org/officeDocument/2006/relationships/image" Target="../media/image7.svg"/><Relationship Id="rId7" Type="http://schemas.openxmlformats.org/officeDocument/2006/relationships/image" Target="../media/image11.svg"/><Relationship Id="rId12" Type="http://schemas.openxmlformats.org/officeDocument/2006/relationships/chart" Target="../charts/chart2.xml"/><Relationship Id="rId2" Type="http://schemas.openxmlformats.org/officeDocument/2006/relationships/image" Target="../media/image6.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0.png"/><Relationship Id="rId11" Type="http://schemas.openxmlformats.org/officeDocument/2006/relationships/image" Target="../media/image15.svg"/><Relationship Id="rId5" Type="http://schemas.openxmlformats.org/officeDocument/2006/relationships/image" Target="../media/image9.svg"/><Relationship Id="rId15" Type="http://schemas.openxmlformats.org/officeDocument/2006/relationships/chart" Target="../charts/chart5.xm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7.svg"/><Relationship Id="rId3" Type="http://schemas.openxmlformats.org/officeDocument/2006/relationships/image" Target="../media/image10.png"/><Relationship Id="rId7" Type="http://schemas.openxmlformats.org/officeDocument/2006/relationships/image" Target="../media/image16.png"/><Relationship Id="rId12" Type="http://schemas.openxmlformats.org/officeDocument/2006/relationships/image" Target="../media/image13.svg"/><Relationship Id="rId2" Type="http://schemas.openxmlformats.org/officeDocument/2006/relationships/image" Target="../media/image15.svg"/><Relationship Id="rId1" Type="http://schemas.openxmlformats.org/officeDocument/2006/relationships/image" Target="../media/image14.png"/><Relationship Id="rId6" Type="http://schemas.openxmlformats.org/officeDocument/2006/relationships/image" Target="../media/image9.svg"/><Relationship Id="rId11" Type="http://schemas.openxmlformats.org/officeDocument/2006/relationships/image" Target="../media/image12.png"/><Relationship Id="rId5" Type="http://schemas.openxmlformats.org/officeDocument/2006/relationships/image" Target="../media/image8.png"/><Relationship Id="rId10" Type="http://schemas.openxmlformats.org/officeDocument/2006/relationships/image" Target="../media/image7.svg"/><Relationship Id="rId4" Type="http://schemas.openxmlformats.org/officeDocument/2006/relationships/image" Target="../media/image11.sv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4</xdr:col>
      <xdr:colOff>186530</xdr:colOff>
      <xdr:row>18</xdr:row>
      <xdr:rowOff>182563</xdr:rowOff>
    </xdr:from>
    <xdr:to>
      <xdr:col>10</xdr:col>
      <xdr:colOff>67468</xdr:colOff>
      <xdr:row>31</xdr:row>
      <xdr:rowOff>51594</xdr:rowOff>
    </xdr:to>
    <xdr:sp macro="" textlink="">
      <xdr:nvSpPr>
        <xdr:cNvPr id="18" name="Rectangle 17">
          <a:extLst>
            <a:ext uri="{FF2B5EF4-FFF2-40B4-BE49-F238E27FC236}">
              <a16:creationId xmlns:a16="http://schemas.microsoft.com/office/drawing/2014/main" id="{0CBD8E1C-5635-7EF6-4658-E3C3209A0F04}"/>
            </a:ext>
          </a:extLst>
        </xdr:cNvPr>
        <xdr:cNvSpPr/>
      </xdr:nvSpPr>
      <xdr:spPr>
        <a:xfrm>
          <a:off x="1924843" y="3611563"/>
          <a:ext cx="3976688" cy="2345531"/>
        </a:xfrm>
        <a:prstGeom prst="rect">
          <a:avLst/>
        </a:prstGeom>
        <a:solidFill>
          <a:schemeClr val="bg1"/>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11</xdr:col>
      <xdr:colOff>64944</xdr:colOff>
      <xdr:row>0</xdr:row>
      <xdr:rowOff>184727</xdr:rowOff>
    </xdr:from>
    <xdr:to>
      <xdr:col>14</xdr:col>
      <xdr:colOff>572943</xdr:colOff>
      <xdr:row>12</xdr:row>
      <xdr:rowOff>105353</xdr:rowOff>
    </xdr:to>
    <xdr:graphicFrame macro="">
      <xdr:nvGraphicFramePr>
        <xdr:cNvPr id="15" name="Chart 14">
          <a:extLst>
            <a:ext uri="{FF2B5EF4-FFF2-40B4-BE49-F238E27FC236}">
              <a16:creationId xmlns:a16="http://schemas.microsoft.com/office/drawing/2014/main" id="{55248136-E4FE-4F00-947A-D4CCF666B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112713</xdr:colOff>
      <xdr:row>1</xdr:row>
      <xdr:rowOff>0</xdr:rowOff>
    </xdr:from>
    <xdr:to>
      <xdr:col>3</xdr:col>
      <xdr:colOff>660400</xdr:colOff>
      <xdr:row>6</xdr:row>
      <xdr:rowOff>0</xdr:rowOff>
    </xdr:to>
    <xdr:sp macro="" textlink="Pivots!A4">
      <xdr:nvSpPr>
        <xdr:cNvPr id="2" name="Rectangle 1">
          <a:extLst>
            <a:ext uri="{FF2B5EF4-FFF2-40B4-BE49-F238E27FC236}">
              <a16:creationId xmlns:a16="http://schemas.microsoft.com/office/drawing/2014/main" id="{0889153B-6F29-B120-BCB8-F5F3CDDFE105}"/>
            </a:ext>
          </a:extLst>
        </xdr:cNvPr>
        <xdr:cNvSpPr/>
      </xdr:nvSpPr>
      <xdr:spPr>
        <a:xfrm>
          <a:off x="112713" y="190500"/>
          <a:ext cx="1603375" cy="952500"/>
        </a:xfrm>
        <a:prstGeom prst="rect">
          <a:avLst/>
        </a:prstGeom>
        <a:solidFill>
          <a:schemeClr val="accent6"/>
        </a:solidFill>
        <a:ln>
          <a:solidFill>
            <a:schemeClr val="accent6"/>
          </a:solidFill>
        </a:ln>
        <a:effectLst>
          <a:outerShdw blurRad="635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967A24-FB9F-4C1B-A8B8-6691B993B2DB}" type="TxLink">
            <a:rPr lang="en-US" sz="2400" b="0" i="0" u="none" strike="noStrike">
              <a:solidFill>
                <a:schemeClr val="bg1"/>
              </a:solidFill>
              <a:latin typeface="+mj-lt"/>
            </a:rPr>
            <a:pPr algn="ctr"/>
            <a:t>1,000</a:t>
          </a:fld>
          <a:endParaRPr lang="en-PK" sz="2400">
            <a:solidFill>
              <a:schemeClr val="bg1"/>
            </a:solidFill>
            <a:latin typeface="+mj-lt"/>
          </a:endParaRPr>
        </a:p>
      </xdr:txBody>
    </xdr:sp>
    <xdr:clientData/>
  </xdr:twoCellAnchor>
  <xdr:twoCellAnchor>
    <xdr:from>
      <xdr:col>1</xdr:col>
      <xdr:colOff>158750</xdr:colOff>
      <xdr:row>1</xdr:row>
      <xdr:rowOff>19050</xdr:rowOff>
    </xdr:from>
    <xdr:to>
      <xdr:col>3</xdr:col>
      <xdr:colOff>422275</xdr:colOff>
      <xdr:row>2</xdr:row>
      <xdr:rowOff>76200</xdr:rowOff>
    </xdr:to>
    <xdr:sp macro="" textlink="">
      <xdr:nvSpPr>
        <xdr:cNvPr id="3" name="TextBox 2">
          <a:extLst>
            <a:ext uri="{FF2B5EF4-FFF2-40B4-BE49-F238E27FC236}">
              <a16:creationId xmlns:a16="http://schemas.microsoft.com/office/drawing/2014/main" id="{9E83EC57-3285-8809-4FAC-F29F410B8DCC}"/>
            </a:ext>
          </a:extLst>
        </xdr:cNvPr>
        <xdr:cNvSpPr txBox="1"/>
      </xdr:nvSpPr>
      <xdr:spPr>
        <a:xfrm>
          <a:off x="341313" y="209550"/>
          <a:ext cx="1136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n>
                <a:noFill/>
              </a:ln>
              <a:solidFill>
                <a:schemeClr val="bg1"/>
              </a:solidFill>
              <a:latin typeface="+mj-lt"/>
            </a:rPr>
            <a:t>Calls</a:t>
          </a:r>
          <a:endParaRPr lang="en-US" sz="1100">
            <a:ln>
              <a:noFill/>
            </a:ln>
            <a:solidFill>
              <a:schemeClr val="bg1"/>
            </a:solidFill>
            <a:latin typeface="+mj-lt"/>
          </a:endParaRPr>
        </a:p>
      </xdr:txBody>
    </xdr:sp>
    <xdr:clientData/>
  </xdr:twoCellAnchor>
  <xdr:twoCellAnchor editAs="oneCell">
    <xdr:from>
      <xdr:col>2</xdr:col>
      <xdr:colOff>120927</xdr:colOff>
      <xdr:row>1</xdr:row>
      <xdr:rowOff>45473</xdr:rowOff>
    </xdr:from>
    <xdr:to>
      <xdr:col>2</xdr:col>
      <xdr:colOff>294822</xdr:colOff>
      <xdr:row>2</xdr:row>
      <xdr:rowOff>28868</xdr:rowOff>
    </xdr:to>
    <xdr:pic>
      <xdr:nvPicPr>
        <xdr:cNvPr id="4" name="Graphic 3" descr="Receiver with solid fill">
          <a:extLst>
            <a:ext uri="{FF2B5EF4-FFF2-40B4-BE49-F238E27FC236}">
              <a16:creationId xmlns:a16="http://schemas.microsoft.com/office/drawing/2014/main" id="{53AF7C07-CEFF-4E48-A489-61DC998BAEB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878412">
          <a:off x="493990" y="235973"/>
          <a:ext cx="173895" cy="173895"/>
        </a:xfrm>
        <a:prstGeom prst="rect">
          <a:avLst/>
        </a:prstGeom>
      </xdr:spPr>
    </xdr:pic>
    <xdr:clientData/>
  </xdr:twoCellAnchor>
  <xdr:twoCellAnchor>
    <xdr:from>
      <xdr:col>1</xdr:col>
      <xdr:colOff>174625</xdr:colOff>
      <xdr:row>4</xdr:row>
      <xdr:rowOff>127000</xdr:rowOff>
    </xdr:from>
    <xdr:to>
      <xdr:col>3</xdr:col>
      <xdr:colOff>373062</xdr:colOff>
      <xdr:row>5</xdr:row>
      <xdr:rowOff>111125</xdr:rowOff>
    </xdr:to>
    <xdr:sp macro="" textlink="Pivots!A11">
      <xdr:nvSpPr>
        <xdr:cNvPr id="6" name="TextBox 5">
          <a:extLst>
            <a:ext uri="{FF2B5EF4-FFF2-40B4-BE49-F238E27FC236}">
              <a16:creationId xmlns:a16="http://schemas.microsoft.com/office/drawing/2014/main" id="{AEA17BF0-E054-3E0E-FF72-19F35573443B}"/>
            </a:ext>
          </a:extLst>
        </xdr:cNvPr>
        <xdr:cNvSpPr txBox="1"/>
      </xdr:nvSpPr>
      <xdr:spPr>
        <a:xfrm>
          <a:off x="357188" y="889000"/>
          <a:ext cx="1071562"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D53C2F-174C-4F94-9EB8-050E28DF6E84}" type="TxLink">
            <a:rPr lang="en-US" sz="1600" b="0" i="0" u="none" strike="noStrike">
              <a:solidFill>
                <a:schemeClr val="accent6">
                  <a:lumMod val="40000"/>
                  <a:lumOff val="60000"/>
                </a:schemeClr>
              </a:solidFill>
              <a:latin typeface="+mj-lt"/>
            </a:rPr>
            <a:pPr algn="ctr"/>
            <a:t>186</a:t>
          </a:fld>
          <a:endParaRPr lang="en-PK" sz="1600">
            <a:solidFill>
              <a:schemeClr val="accent6">
                <a:lumMod val="40000"/>
                <a:lumOff val="60000"/>
              </a:schemeClr>
            </a:solidFill>
            <a:latin typeface="+mj-lt"/>
          </a:endParaRPr>
        </a:p>
      </xdr:txBody>
    </xdr:sp>
    <xdr:clientData/>
  </xdr:twoCellAnchor>
  <xdr:twoCellAnchor>
    <xdr:from>
      <xdr:col>0</xdr:col>
      <xdr:colOff>111125</xdr:colOff>
      <xdr:row>6</xdr:row>
      <xdr:rowOff>158750</xdr:rowOff>
    </xdr:from>
    <xdr:to>
      <xdr:col>3</xdr:col>
      <xdr:colOff>658812</xdr:colOff>
      <xdr:row>11</xdr:row>
      <xdr:rowOff>158750</xdr:rowOff>
    </xdr:to>
    <xdr:sp macro="" textlink="Pivots!B4">
      <xdr:nvSpPr>
        <xdr:cNvPr id="7" name="Rectangle 6">
          <a:extLst>
            <a:ext uri="{FF2B5EF4-FFF2-40B4-BE49-F238E27FC236}">
              <a16:creationId xmlns:a16="http://schemas.microsoft.com/office/drawing/2014/main" id="{602EF98D-BF2E-4292-8F85-B817FAE934CE}"/>
            </a:ext>
          </a:extLst>
        </xdr:cNvPr>
        <xdr:cNvSpPr/>
      </xdr:nvSpPr>
      <xdr:spPr>
        <a:xfrm>
          <a:off x="111125" y="1301750"/>
          <a:ext cx="1603375" cy="952500"/>
        </a:xfrm>
        <a:prstGeom prst="rect">
          <a:avLst/>
        </a:prstGeom>
        <a:solidFill>
          <a:schemeClr val="accent6"/>
        </a:solidFill>
        <a:ln>
          <a:solidFill>
            <a:schemeClr val="accent6"/>
          </a:solidFill>
        </a:ln>
        <a:effectLst>
          <a:outerShdw blurRad="635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EF6CD6F-7133-453B-91FE-0D4322809320}" type="TxLink">
            <a:rPr lang="en-US" sz="2400" b="0" i="0" u="none" strike="noStrike">
              <a:solidFill>
                <a:schemeClr val="bg1"/>
              </a:solidFill>
              <a:latin typeface="+mj-lt"/>
              <a:ea typeface="+mn-ea"/>
              <a:cs typeface="+mn-cs"/>
            </a:rPr>
            <a:pPr marL="0" indent="0" algn="ctr"/>
            <a:t>$96,623</a:t>
          </a:fld>
          <a:endParaRPr lang="en-PK" sz="2400" b="0" i="0" u="none" strike="noStrike">
            <a:solidFill>
              <a:schemeClr val="bg1"/>
            </a:solidFill>
            <a:latin typeface="+mj-lt"/>
            <a:ea typeface="+mn-ea"/>
            <a:cs typeface="+mn-cs"/>
          </a:endParaRPr>
        </a:p>
      </xdr:txBody>
    </xdr:sp>
    <xdr:clientData/>
  </xdr:twoCellAnchor>
  <xdr:twoCellAnchor>
    <xdr:from>
      <xdr:col>1</xdr:col>
      <xdr:colOff>157162</xdr:colOff>
      <xdr:row>6</xdr:row>
      <xdr:rowOff>177800</xdr:rowOff>
    </xdr:from>
    <xdr:to>
      <xdr:col>3</xdr:col>
      <xdr:colOff>420687</xdr:colOff>
      <xdr:row>8</xdr:row>
      <xdr:rowOff>44450</xdr:rowOff>
    </xdr:to>
    <xdr:sp macro="" textlink="">
      <xdr:nvSpPr>
        <xdr:cNvPr id="8" name="TextBox 7">
          <a:extLst>
            <a:ext uri="{FF2B5EF4-FFF2-40B4-BE49-F238E27FC236}">
              <a16:creationId xmlns:a16="http://schemas.microsoft.com/office/drawing/2014/main" id="{A6845B8E-48E6-4454-8412-4859640CCBA4}"/>
            </a:ext>
          </a:extLst>
        </xdr:cNvPr>
        <xdr:cNvSpPr txBox="1"/>
      </xdr:nvSpPr>
      <xdr:spPr>
        <a:xfrm>
          <a:off x="339725" y="1320800"/>
          <a:ext cx="1136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n>
                <a:noFill/>
              </a:ln>
              <a:solidFill>
                <a:schemeClr val="bg1"/>
              </a:solidFill>
              <a:latin typeface="+mj-lt"/>
            </a:rPr>
            <a:t>Amount</a:t>
          </a:r>
          <a:endParaRPr lang="en-US" sz="1100">
            <a:ln>
              <a:noFill/>
            </a:ln>
            <a:solidFill>
              <a:schemeClr val="bg1"/>
            </a:solidFill>
            <a:latin typeface="+mj-lt"/>
          </a:endParaRPr>
        </a:p>
      </xdr:txBody>
    </xdr:sp>
    <xdr:clientData/>
  </xdr:twoCellAnchor>
  <xdr:twoCellAnchor editAs="oneCell">
    <xdr:from>
      <xdr:col>1</xdr:col>
      <xdr:colOff>139327</xdr:colOff>
      <xdr:row>7</xdr:row>
      <xdr:rowOff>16676</xdr:rowOff>
    </xdr:from>
    <xdr:to>
      <xdr:col>2</xdr:col>
      <xdr:colOff>149526</xdr:colOff>
      <xdr:row>8</xdr:row>
      <xdr:rowOff>26875</xdr:rowOff>
    </xdr:to>
    <xdr:pic>
      <xdr:nvPicPr>
        <xdr:cNvPr id="9" name="Graphic 8">
          <a:extLst>
            <a:ext uri="{FF2B5EF4-FFF2-40B4-BE49-F238E27FC236}">
              <a16:creationId xmlns:a16="http://schemas.microsoft.com/office/drawing/2014/main" id="{21F26C13-1384-47D3-A43D-68FA100C63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321890" y="1350176"/>
          <a:ext cx="200699" cy="200699"/>
        </a:xfrm>
        <a:prstGeom prst="rect">
          <a:avLst/>
        </a:prstGeom>
      </xdr:spPr>
    </xdr:pic>
    <xdr:clientData/>
  </xdr:twoCellAnchor>
  <xdr:twoCellAnchor>
    <xdr:from>
      <xdr:col>1</xdr:col>
      <xdr:colOff>173037</xdr:colOff>
      <xdr:row>10</xdr:row>
      <xdr:rowOff>95250</xdr:rowOff>
    </xdr:from>
    <xdr:to>
      <xdr:col>3</xdr:col>
      <xdr:colOff>371474</xdr:colOff>
      <xdr:row>11</xdr:row>
      <xdr:rowOff>79375</xdr:rowOff>
    </xdr:to>
    <xdr:sp macro="" textlink="Pivots!B11">
      <xdr:nvSpPr>
        <xdr:cNvPr id="10" name="TextBox 9">
          <a:extLst>
            <a:ext uri="{FF2B5EF4-FFF2-40B4-BE49-F238E27FC236}">
              <a16:creationId xmlns:a16="http://schemas.microsoft.com/office/drawing/2014/main" id="{26D27520-8D7C-4B3E-A87A-1A4A28E8452A}"/>
            </a:ext>
          </a:extLst>
        </xdr:cNvPr>
        <xdr:cNvSpPr txBox="1"/>
      </xdr:nvSpPr>
      <xdr:spPr>
        <a:xfrm>
          <a:off x="355600" y="2000250"/>
          <a:ext cx="1071562"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7E8E5E-2C93-4353-B764-46F13AA5D52A}" type="TxLink">
            <a:rPr lang="en-US" sz="1600" b="0" i="0" u="none" strike="noStrike">
              <a:solidFill>
                <a:schemeClr val="accent6">
                  <a:lumMod val="40000"/>
                  <a:lumOff val="60000"/>
                </a:schemeClr>
              </a:solidFill>
              <a:latin typeface="+mj-lt"/>
              <a:ea typeface="+mn-ea"/>
              <a:cs typeface="+mn-cs"/>
            </a:rPr>
            <a:pPr marL="0" indent="0" algn="ctr"/>
            <a:t>$16,651</a:t>
          </a:fld>
          <a:endParaRPr lang="en-PK" sz="1600" b="0" i="0" u="none" strike="noStrike">
            <a:solidFill>
              <a:schemeClr val="accent6">
                <a:lumMod val="40000"/>
                <a:lumOff val="60000"/>
              </a:schemeClr>
            </a:solidFill>
            <a:latin typeface="+mj-lt"/>
            <a:ea typeface="+mn-ea"/>
            <a:cs typeface="+mn-cs"/>
          </a:endParaRPr>
        </a:p>
      </xdr:txBody>
    </xdr:sp>
    <xdr:clientData/>
  </xdr:twoCellAnchor>
  <xdr:twoCellAnchor>
    <xdr:from>
      <xdr:col>0</xdr:col>
      <xdr:colOff>103188</xdr:colOff>
      <xdr:row>12</xdr:row>
      <xdr:rowOff>182563</xdr:rowOff>
    </xdr:from>
    <xdr:to>
      <xdr:col>3</xdr:col>
      <xdr:colOff>650875</xdr:colOff>
      <xdr:row>17</xdr:row>
      <xdr:rowOff>182563</xdr:rowOff>
    </xdr:to>
    <xdr:sp macro="" textlink="Pivots!C4">
      <xdr:nvSpPr>
        <xdr:cNvPr id="11" name="Rectangle 10">
          <a:extLst>
            <a:ext uri="{FF2B5EF4-FFF2-40B4-BE49-F238E27FC236}">
              <a16:creationId xmlns:a16="http://schemas.microsoft.com/office/drawing/2014/main" id="{CD2C7685-CF90-40C2-B26D-BB98CCF1559D}"/>
            </a:ext>
          </a:extLst>
        </xdr:cNvPr>
        <xdr:cNvSpPr/>
      </xdr:nvSpPr>
      <xdr:spPr>
        <a:xfrm>
          <a:off x="103188" y="2468563"/>
          <a:ext cx="1603375" cy="952500"/>
        </a:xfrm>
        <a:prstGeom prst="rect">
          <a:avLst/>
        </a:prstGeom>
        <a:solidFill>
          <a:schemeClr val="accent6"/>
        </a:solidFill>
        <a:ln>
          <a:solidFill>
            <a:schemeClr val="accent6"/>
          </a:solidFill>
        </a:ln>
        <a:effectLst>
          <a:outerShdw blurRad="635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23EF258-0B43-4EA2-BCCA-0596582E1069}" type="TxLink">
            <a:rPr lang="en-US" sz="2400" b="0" i="0" u="none" strike="noStrike">
              <a:solidFill>
                <a:schemeClr val="bg1"/>
              </a:solidFill>
              <a:latin typeface="+mj-lt"/>
              <a:ea typeface="+mn-ea"/>
              <a:cs typeface="+mn-cs"/>
            </a:rPr>
            <a:pPr marL="0" indent="0" algn="ctr"/>
            <a:t>89,850</a:t>
          </a:fld>
          <a:endParaRPr lang="en-PK" sz="2400" b="0" i="0" u="none" strike="noStrike">
            <a:solidFill>
              <a:schemeClr val="bg1"/>
            </a:solidFill>
            <a:latin typeface="+mj-lt"/>
            <a:ea typeface="+mn-ea"/>
            <a:cs typeface="+mn-cs"/>
          </a:endParaRPr>
        </a:p>
      </xdr:txBody>
    </xdr:sp>
    <xdr:clientData/>
  </xdr:twoCellAnchor>
  <xdr:twoCellAnchor>
    <xdr:from>
      <xdr:col>1</xdr:col>
      <xdr:colOff>149225</xdr:colOff>
      <xdr:row>13</xdr:row>
      <xdr:rowOff>11113</xdr:rowOff>
    </xdr:from>
    <xdr:to>
      <xdr:col>3</xdr:col>
      <xdr:colOff>412750</xdr:colOff>
      <xdr:row>14</xdr:row>
      <xdr:rowOff>68263</xdr:rowOff>
    </xdr:to>
    <xdr:sp macro="" textlink="">
      <xdr:nvSpPr>
        <xdr:cNvPr id="12" name="TextBox 11">
          <a:extLst>
            <a:ext uri="{FF2B5EF4-FFF2-40B4-BE49-F238E27FC236}">
              <a16:creationId xmlns:a16="http://schemas.microsoft.com/office/drawing/2014/main" id="{C8C098B8-9E3F-465A-B0FC-F595B4A698A5}"/>
            </a:ext>
          </a:extLst>
        </xdr:cNvPr>
        <xdr:cNvSpPr txBox="1"/>
      </xdr:nvSpPr>
      <xdr:spPr>
        <a:xfrm>
          <a:off x="331788" y="2487613"/>
          <a:ext cx="1136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n>
                <a:noFill/>
              </a:ln>
              <a:solidFill>
                <a:schemeClr val="bg1"/>
              </a:solidFill>
              <a:latin typeface="+mj-lt"/>
            </a:rPr>
            <a:t>Duration</a:t>
          </a:r>
          <a:endParaRPr lang="en-US" sz="1100">
            <a:ln>
              <a:noFill/>
            </a:ln>
            <a:solidFill>
              <a:schemeClr val="bg1"/>
            </a:solidFill>
            <a:latin typeface="+mj-lt"/>
          </a:endParaRPr>
        </a:p>
      </xdr:txBody>
    </xdr:sp>
    <xdr:clientData/>
  </xdr:twoCellAnchor>
  <xdr:twoCellAnchor editAs="oneCell">
    <xdr:from>
      <xdr:col>1</xdr:col>
      <xdr:colOff>123456</xdr:colOff>
      <xdr:row>13</xdr:row>
      <xdr:rowOff>32551</xdr:rowOff>
    </xdr:from>
    <xdr:to>
      <xdr:col>2</xdr:col>
      <xdr:colOff>133655</xdr:colOff>
      <xdr:row>14</xdr:row>
      <xdr:rowOff>42750</xdr:rowOff>
    </xdr:to>
    <xdr:pic>
      <xdr:nvPicPr>
        <xdr:cNvPr id="13" name="Graphic 12">
          <a:extLst>
            <a:ext uri="{FF2B5EF4-FFF2-40B4-BE49-F238E27FC236}">
              <a16:creationId xmlns:a16="http://schemas.microsoft.com/office/drawing/2014/main" id="{F468CDD9-DF2A-4FBF-9817-CE4769B0CE2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306019" y="2509051"/>
          <a:ext cx="200699" cy="200699"/>
        </a:xfrm>
        <a:prstGeom prst="rect">
          <a:avLst/>
        </a:prstGeom>
      </xdr:spPr>
    </xdr:pic>
    <xdr:clientData/>
  </xdr:twoCellAnchor>
  <xdr:twoCellAnchor>
    <xdr:from>
      <xdr:col>1</xdr:col>
      <xdr:colOff>165100</xdr:colOff>
      <xdr:row>16</xdr:row>
      <xdr:rowOff>119063</xdr:rowOff>
    </xdr:from>
    <xdr:to>
      <xdr:col>3</xdr:col>
      <xdr:colOff>363537</xdr:colOff>
      <xdr:row>17</xdr:row>
      <xdr:rowOff>103188</xdr:rowOff>
    </xdr:to>
    <xdr:sp macro="" textlink="Pivots!C11">
      <xdr:nvSpPr>
        <xdr:cNvPr id="14" name="TextBox 13">
          <a:extLst>
            <a:ext uri="{FF2B5EF4-FFF2-40B4-BE49-F238E27FC236}">
              <a16:creationId xmlns:a16="http://schemas.microsoft.com/office/drawing/2014/main" id="{EBA90B33-EE2B-450A-A04A-EBAE9DF2D05E}"/>
            </a:ext>
          </a:extLst>
        </xdr:cNvPr>
        <xdr:cNvSpPr txBox="1"/>
      </xdr:nvSpPr>
      <xdr:spPr>
        <a:xfrm>
          <a:off x="347663" y="3167063"/>
          <a:ext cx="1071562"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D277B4-25D5-4657-959E-5BF5EA8E2C88}" type="TxLink">
            <a:rPr lang="en-US" sz="1600" b="0" i="0" u="none" strike="noStrike">
              <a:solidFill>
                <a:schemeClr val="accent6">
                  <a:lumMod val="40000"/>
                  <a:lumOff val="60000"/>
                </a:schemeClr>
              </a:solidFill>
              <a:latin typeface="+mj-lt"/>
              <a:ea typeface="+mn-ea"/>
              <a:cs typeface="+mn-cs"/>
            </a:rPr>
            <a:pPr marL="0" indent="0" algn="ctr"/>
            <a:t>17,807</a:t>
          </a:fld>
          <a:endParaRPr lang="en-PK" sz="1600" b="0" i="0" u="none" strike="noStrike">
            <a:solidFill>
              <a:schemeClr val="accent6">
                <a:lumMod val="40000"/>
                <a:lumOff val="60000"/>
              </a:schemeClr>
            </a:solidFill>
            <a:latin typeface="+mj-lt"/>
            <a:ea typeface="+mn-ea"/>
            <a:cs typeface="+mn-cs"/>
          </a:endParaRPr>
        </a:p>
      </xdr:txBody>
    </xdr:sp>
    <xdr:clientData/>
  </xdr:twoCellAnchor>
  <xdr:twoCellAnchor>
    <xdr:from>
      <xdr:col>0</xdr:col>
      <xdr:colOff>95251</xdr:colOff>
      <xdr:row>19</xdr:row>
      <xdr:rowOff>7937</xdr:rowOff>
    </xdr:from>
    <xdr:to>
      <xdr:col>3</xdr:col>
      <xdr:colOff>642938</xdr:colOff>
      <xdr:row>24</xdr:row>
      <xdr:rowOff>7937</xdr:rowOff>
    </xdr:to>
    <xdr:sp macro="" textlink="Pivots!D4">
      <xdr:nvSpPr>
        <xdr:cNvPr id="19" name="Rectangle 18">
          <a:extLst>
            <a:ext uri="{FF2B5EF4-FFF2-40B4-BE49-F238E27FC236}">
              <a16:creationId xmlns:a16="http://schemas.microsoft.com/office/drawing/2014/main" id="{0E8064F0-8A5E-44A2-8372-A1F98555F4EB}"/>
            </a:ext>
          </a:extLst>
        </xdr:cNvPr>
        <xdr:cNvSpPr/>
      </xdr:nvSpPr>
      <xdr:spPr>
        <a:xfrm>
          <a:off x="95251" y="3627437"/>
          <a:ext cx="1603375" cy="952500"/>
        </a:xfrm>
        <a:prstGeom prst="rect">
          <a:avLst/>
        </a:prstGeom>
        <a:solidFill>
          <a:schemeClr val="accent6"/>
        </a:solidFill>
        <a:ln>
          <a:solidFill>
            <a:schemeClr val="accent6"/>
          </a:solidFill>
        </a:ln>
        <a:effectLst>
          <a:outerShdw blurRad="635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3DE8B76-AB02-4076-A2EF-9625CB754C46}" type="TxLink">
            <a:rPr lang="en-US" sz="2400" b="0" i="0" u="none" strike="noStrike">
              <a:solidFill>
                <a:schemeClr val="bg1"/>
              </a:solidFill>
              <a:latin typeface="+mj-lt"/>
              <a:ea typeface="+mn-ea"/>
              <a:cs typeface="+mn-cs"/>
            </a:rPr>
            <a:pPr marL="0" indent="0" algn="ctr"/>
            <a:t>3.9</a:t>
          </a:fld>
          <a:endParaRPr lang="en-PK" sz="2400" b="0" i="0" u="none" strike="noStrike">
            <a:solidFill>
              <a:schemeClr val="bg1"/>
            </a:solidFill>
            <a:latin typeface="+mj-lt"/>
            <a:ea typeface="+mn-ea"/>
            <a:cs typeface="+mn-cs"/>
          </a:endParaRPr>
        </a:p>
      </xdr:txBody>
    </xdr:sp>
    <xdr:clientData/>
  </xdr:twoCellAnchor>
  <xdr:twoCellAnchor>
    <xdr:from>
      <xdr:col>1</xdr:col>
      <xdr:colOff>141288</xdr:colOff>
      <xdr:row>19</xdr:row>
      <xdr:rowOff>26987</xdr:rowOff>
    </xdr:from>
    <xdr:to>
      <xdr:col>3</xdr:col>
      <xdr:colOff>404813</xdr:colOff>
      <xdr:row>20</xdr:row>
      <xdr:rowOff>84137</xdr:rowOff>
    </xdr:to>
    <xdr:sp macro="" textlink="">
      <xdr:nvSpPr>
        <xdr:cNvPr id="20" name="TextBox 19">
          <a:extLst>
            <a:ext uri="{FF2B5EF4-FFF2-40B4-BE49-F238E27FC236}">
              <a16:creationId xmlns:a16="http://schemas.microsoft.com/office/drawing/2014/main" id="{9E22A7B8-80BF-4C76-A2E4-67E18F8B2A3B}"/>
            </a:ext>
          </a:extLst>
        </xdr:cNvPr>
        <xdr:cNvSpPr txBox="1"/>
      </xdr:nvSpPr>
      <xdr:spPr>
        <a:xfrm>
          <a:off x="323851" y="3646487"/>
          <a:ext cx="1136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n>
                <a:noFill/>
              </a:ln>
              <a:solidFill>
                <a:schemeClr val="bg1"/>
              </a:solidFill>
              <a:latin typeface="+mj-lt"/>
            </a:rPr>
            <a:t>Avg Rating</a:t>
          </a:r>
          <a:endParaRPr lang="en-US" sz="1100">
            <a:ln>
              <a:noFill/>
            </a:ln>
            <a:solidFill>
              <a:schemeClr val="bg1"/>
            </a:solidFill>
            <a:latin typeface="+mj-lt"/>
          </a:endParaRPr>
        </a:p>
      </xdr:txBody>
    </xdr:sp>
    <xdr:clientData/>
  </xdr:twoCellAnchor>
  <xdr:twoCellAnchor editAs="oneCell">
    <xdr:from>
      <xdr:col>0</xdr:col>
      <xdr:colOff>172227</xdr:colOff>
      <xdr:row>19</xdr:row>
      <xdr:rowOff>22685</xdr:rowOff>
    </xdr:from>
    <xdr:to>
      <xdr:col>2</xdr:col>
      <xdr:colOff>84180</xdr:colOff>
      <xdr:row>20</xdr:row>
      <xdr:rowOff>117201</xdr:rowOff>
    </xdr:to>
    <xdr:pic>
      <xdr:nvPicPr>
        <xdr:cNvPr id="21" name="Graphic 20">
          <a:extLst>
            <a:ext uri="{FF2B5EF4-FFF2-40B4-BE49-F238E27FC236}">
              <a16:creationId xmlns:a16="http://schemas.microsoft.com/office/drawing/2014/main" id="{D78A3EEC-6C31-4492-B8F5-F4BA0BD7801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172227" y="3642185"/>
          <a:ext cx="285016" cy="285016"/>
        </a:xfrm>
        <a:prstGeom prst="rect">
          <a:avLst/>
        </a:prstGeom>
      </xdr:spPr>
    </xdr:pic>
    <xdr:clientData/>
  </xdr:twoCellAnchor>
  <xdr:twoCellAnchor>
    <xdr:from>
      <xdr:col>1</xdr:col>
      <xdr:colOff>157163</xdr:colOff>
      <xdr:row>22</xdr:row>
      <xdr:rowOff>134937</xdr:rowOff>
    </xdr:from>
    <xdr:to>
      <xdr:col>3</xdr:col>
      <xdr:colOff>355600</xdr:colOff>
      <xdr:row>23</xdr:row>
      <xdr:rowOff>119062</xdr:rowOff>
    </xdr:to>
    <xdr:sp macro="" textlink="Pivots!D11">
      <xdr:nvSpPr>
        <xdr:cNvPr id="22" name="TextBox 21">
          <a:extLst>
            <a:ext uri="{FF2B5EF4-FFF2-40B4-BE49-F238E27FC236}">
              <a16:creationId xmlns:a16="http://schemas.microsoft.com/office/drawing/2014/main" id="{27A5336D-4861-4456-A41D-68751E3F86E3}"/>
            </a:ext>
          </a:extLst>
        </xdr:cNvPr>
        <xdr:cNvSpPr txBox="1"/>
      </xdr:nvSpPr>
      <xdr:spPr>
        <a:xfrm>
          <a:off x="339726" y="4325937"/>
          <a:ext cx="1071562"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DC001D-CD3A-4084-86C0-ADC1CAE549A0}" type="TxLink">
            <a:rPr lang="en-US" sz="1600" b="0" i="0" u="none" strike="noStrike">
              <a:solidFill>
                <a:schemeClr val="accent6">
                  <a:lumMod val="40000"/>
                  <a:lumOff val="60000"/>
                </a:schemeClr>
              </a:solidFill>
              <a:latin typeface="+mj-lt"/>
              <a:ea typeface="+mn-ea"/>
              <a:cs typeface="+mn-cs"/>
            </a:rPr>
            <a:pPr marL="0" indent="0" algn="ctr"/>
            <a:t>3.9</a:t>
          </a:fld>
          <a:endParaRPr lang="en-PK" sz="1600" b="0" i="0" u="none" strike="noStrike">
            <a:solidFill>
              <a:schemeClr val="accent6">
                <a:lumMod val="40000"/>
                <a:lumOff val="60000"/>
              </a:schemeClr>
            </a:solidFill>
            <a:latin typeface="+mj-lt"/>
            <a:ea typeface="+mn-ea"/>
            <a:cs typeface="+mn-cs"/>
          </a:endParaRPr>
        </a:p>
      </xdr:txBody>
    </xdr:sp>
    <xdr:clientData/>
  </xdr:twoCellAnchor>
  <xdr:twoCellAnchor>
    <xdr:from>
      <xdr:col>0</xdr:col>
      <xdr:colOff>79375</xdr:colOff>
      <xdr:row>25</xdr:row>
      <xdr:rowOff>39688</xdr:rowOff>
    </xdr:from>
    <xdr:to>
      <xdr:col>3</xdr:col>
      <xdr:colOff>627062</xdr:colOff>
      <xdr:row>30</xdr:row>
      <xdr:rowOff>39688</xdr:rowOff>
    </xdr:to>
    <xdr:sp macro="" textlink="Pivots!E4">
      <xdr:nvSpPr>
        <xdr:cNvPr id="23" name="Rectangle 22">
          <a:extLst>
            <a:ext uri="{FF2B5EF4-FFF2-40B4-BE49-F238E27FC236}">
              <a16:creationId xmlns:a16="http://schemas.microsoft.com/office/drawing/2014/main" id="{3C75BF97-8BB3-4635-93AE-5B14FD7AC338}"/>
            </a:ext>
          </a:extLst>
        </xdr:cNvPr>
        <xdr:cNvSpPr/>
      </xdr:nvSpPr>
      <xdr:spPr>
        <a:xfrm>
          <a:off x="79375" y="4802188"/>
          <a:ext cx="1603375" cy="952500"/>
        </a:xfrm>
        <a:prstGeom prst="rect">
          <a:avLst/>
        </a:prstGeom>
        <a:solidFill>
          <a:schemeClr val="accent6"/>
        </a:solidFill>
        <a:ln>
          <a:solidFill>
            <a:schemeClr val="accent6"/>
          </a:solidFill>
        </a:ln>
        <a:effectLst>
          <a:outerShdw blurRad="635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3BA3E23-C81B-49CF-A189-AAB4BDDBA578}" type="TxLink">
            <a:rPr lang="en-US" sz="2400" b="0" i="0" u="none" strike="noStrike">
              <a:solidFill>
                <a:schemeClr val="bg1"/>
              </a:solidFill>
              <a:latin typeface="+mj-lt"/>
              <a:ea typeface="+mn-ea"/>
              <a:cs typeface="+mn-cs"/>
            </a:rPr>
            <a:pPr marL="0" indent="0" algn="ctr"/>
            <a:t>307</a:t>
          </a:fld>
          <a:endParaRPr lang="en-PK" sz="2400" b="0" i="0" u="none" strike="noStrike">
            <a:solidFill>
              <a:schemeClr val="bg1"/>
            </a:solidFill>
            <a:latin typeface="+mj-lt"/>
            <a:ea typeface="+mn-ea"/>
            <a:cs typeface="+mn-cs"/>
          </a:endParaRPr>
        </a:p>
      </xdr:txBody>
    </xdr:sp>
    <xdr:clientData/>
  </xdr:twoCellAnchor>
  <xdr:twoCellAnchor>
    <xdr:from>
      <xdr:col>1</xdr:col>
      <xdr:colOff>125411</xdr:colOff>
      <xdr:row>25</xdr:row>
      <xdr:rowOff>58738</xdr:rowOff>
    </xdr:from>
    <xdr:to>
      <xdr:col>3</xdr:col>
      <xdr:colOff>476249</xdr:colOff>
      <xdr:row>26</xdr:row>
      <xdr:rowOff>115888</xdr:rowOff>
    </xdr:to>
    <xdr:sp macro="" textlink="">
      <xdr:nvSpPr>
        <xdr:cNvPr id="24" name="TextBox 23">
          <a:extLst>
            <a:ext uri="{FF2B5EF4-FFF2-40B4-BE49-F238E27FC236}">
              <a16:creationId xmlns:a16="http://schemas.microsoft.com/office/drawing/2014/main" id="{914363B0-098E-4C78-BF44-5880C4A90E94}"/>
            </a:ext>
          </a:extLst>
        </xdr:cNvPr>
        <xdr:cNvSpPr txBox="1"/>
      </xdr:nvSpPr>
      <xdr:spPr>
        <a:xfrm>
          <a:off x="307974" y="4821238"/>
          <a:ext cx="122396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n>
                <a:noFill/>
              </a:ln>
              <a:solidFill>
                <a:schemeClr val="bg1"/>
              </a:solidFill>
              <a:latin typeface="+mj-lt"/>
            </a:rPr>
            <a:t>Happy Callers</a:t>
          </a:r>
          <a:endParaRPr lang="en-US" sz="1100">
            <a:ln>
              <a:noFill/>
            </a:ln>
            <a:solidFill>
              <a:schemeClr val="bg1"/>
            </a:solidFill>
            <a:latin typeface="+mj-lt"/>
          </a:endParaRPr>
        </a:p>
      </xdr:txBody>
    </xdr:sp>
    <xdr:clientData/>
  </xdr:twoCellAnchor>
  <xdr:twoCellAnchor editAs="oneCell">
    <xdr:from>
      <xdr:col>0</xdr:col>
      <xdr:colOff>163146</xdr:colOff>
      <xdr:row>25</xdr:row>
      <xdr:rowOff>80176</xdr:rowOff>
    </xdr:from>
    <xdr:to>
      <xdr:col>1</xdr:col>
      <xdr:colOff>181282</xdr:colOff>
      <xdr:row>26</xdr:row>
      <xdr:rowOff>90375</xdr:rowOff>
    </xdr:to>
    <xdr:pic>
      <xdr:nvPicPr>
        <xdr:cNvPr id="25" name="Graphic 24">
          <a:extLst>
            <a:ext uri="{FF2B5EF4-FFF2-40B4-BE49-F238E27FC236}">
              <a16:creationId xmlns:a16="http://schemas.microsoft.com/office/drawing/2014/main" id="{C2A7F3B9-07EB-4D7F-BB9E-DA29430EE92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163146" y="4842676"/>
          <a:ext cx="200699" cy="200699"/>
        </a:xfrm>
        <a:prstGeom prst="rect">
          <a:avLst/>
        </a:prstGeom>
      </xdr:spPr>
    </xdr:pic>
    <xdr:clientData/>
  </xdr:twoCellAnchor>
  <xdr:twoCellAnchor>
    <xdr:from>
      <xdr:col>1</xdr:col>
      <xdr:colOff>141287</xdr:colOff>
      <xdr:row>28</xdr:row>
      <xdr:rowOff>166688</xdr:rowOff>
    </xdr:from>
    <xdr:to>
      <xdr:col>3</xdr:col>
      <xdr:colOff>339724</xdr:colOff>
      <xdr:row>29</xdr:row>
      <xdr:rowOff>150813</xdr:rowOff>
    </xdr:to>
    <xdr:sp macro="" textlink="Pivots!E11">
      <xdr:nvSpPr>
        <xdr:cNvPr id="26" name="TextBox 25">
          <a:extLst>
            <a:ext uri="{FF2B5EF4-FFF2-40B4-BE49-F238E27FC236}">
              <a16:creationId xmlns:a16="http://schemas.microsoft.com/office/drawing/2014/main" id="{83944DEC-0102-4A6E-BCC1-9364DEFE4188}"/>
            </a:ext>
          </a:extLst>
        </xdr:cNvPr>
        <xdr:cNvSpPr txBox="1"/>
      </xdr:nvSpPr>
      <xdr:spPr>
        <a:xfrm>
          <a:off x="323850" y="5500688"/>
          <a:ext cx="1071562" cy="17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024169-7148-4C47-BBEE-F0E8EED340FF}" type="TxLink">
            <a:rPr lang="en-US" sz="1600" b="0" i="0" u="none" strike="noStrike">
              <a:solidFill>
                <a:schemeClr val="accent6">
                  <a:lumMod val="40000"/>
                  <a:lumOff val="60000"/>
                </a:schemeClr>
              </a:solidFill>
              <a:latin typeface="+mj-lt"/>
              <a:ea typeface="+mn-ea"/>
              <a:cs typeface="+mn-cs"/>
            </a:rPr>
            <a:pPr marL="0" indent="0" algn="ctr"/>
            <a:t>62</a:t>
          </a:fld>
          <a:endParaRPr lang="en-PK" sz="1600" b="0" i="0" u="none" strike="noStrike">
            <a:solidFill>
              <a:schemeClr val="accent6">
                <a:lumMod val="40000"/>
                <a:lumOff val="60000"/>
              </a:schemeClr>
            </a:solidFill>
            <a:latin typeface="+mj-lt"/>
            <a:ea typeface="+mn-ea"/>
            <a:cs typeface="+mn-cs"/>
          </a:endParaRPr>
        </a:p>
      </xdr:txBody>
    </xdr:sp>
    <xdr:clientData/>
  </xdr:twoCellAnchor>
  <xdr:twoCellAnchor editAs="oneCell">
    <xdr:from>
      <xdr:col>10</xdr:col>
      <xdr:colOff>550859</xdr:colOff>
      <xdr:row>17</xdr:row>
      <xdr:rowOff>28576</xdr:rowOff>
    </xdr:from>
    <xdr:to>
      <xdr:col>13</xdr:col>
      <xdr:colOff>230186</xdr:colOff>
      <xdr:row>26</xdr:row>
      <xdr:rowOff>123825</xdr:rowOff>
    </xdr:to>
    <mc:AlternateContent xmlns:mc="http://schemas.openxmlformats.org/markup-compatibility/2006" xmlns:a14="http://schemas.microsoft.com/office/drawing/2010/main">
      <mc:Choice Requires="a14">
        <xdr:graphicFrame macro="">
          <xdr:nvGraphicFramePr>
            <xdr:cNvPr id="27" name="Representative">
              <a:extLst>
                <a:ext uri="{FF2B5EF4-FFF2-40B4-BE49-F238E27FC236}">
                  <a16:creationId xmlns:a16="http://schemas.microsoft.com/office/drawing/2014/main" id="{11B66934-B6A4-46D4-A029-C536C91EAB7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408734" y="3267076"/>
              <a:ext cx="1736727" cy="180974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198437</xdr:colOff>
      <xdr:row>0</xdr:row>
      <xdr:rowOff>166687</xdr:rowOff>
    </xdr:from>
    <xdr:to>
      <xdr:col>10</xdr:col>
      <xdr:colOff>674687</xdr:colOff>
      <xdr:row>15</xdr:row>
      <xdr:rowOff>52387</xdr:rowOff>
    </xdr:to>
    <xdr:graphicFrame macro="">
      <xdr:nvGraphicFramePr>
        <xdr:cNvPr id="5" name="Chart 4">
          <a:extLst>
            <a:ext uri="{FF2B5EF4-FFF2-40B4-BE49-F238E27FC236}">
              <a16:creationId xmlns:a16="http://schemas.microsoft.com/office/drawing/2014/main" id="{D0453573-42FB-4162-9DFF-B017EF668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174626</xdr:colOff>
      <xdr:row>18</xdr:row>
      <xdr:rowOff>182563</xdr:rowOff>
    </xdr:from>
    <xdr:to>
      <xdr:col>7</xdr:col>
      <xdr:colOff>285749</xdr:colOff>
      <xdr:row>31</xdr:row>
      <xdr:rowOff>52676</xdr:rowOff>
    </xdr:to>
    <xdr:graphicFrame macro="">
      <xdr:nvGraphicFramePr>
        <xdr:cNvPr id="16" name="Chart 15">
          <a:extLst>
            <a:ext uri="{FF2B5EF4-FFF2-40B4-BE49-F238E27FC236}">
              <a16:creationId xmlns:a16="http://schemas.microsoft.com/office/drawing/2014/main" id="{95753F36-3F56-4D13-A4A5-7889A61AB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49605</xdr:colOff>
      <xdr:row>18</xdr:row>
      <xdr:rowOff>182563</xdr:rowOff>
    </xdr:from>
    <xdr:to>
      <xdr:col>10</xdr:col>
      <xdr:colOff>55562</xdr:colOff>
      <xdr:row>31</xdr:row>
      <xdr:rowOff>51594</xdr:rowOff>
    </xdr:to>
    <xdr:graphicFrame macro="">
      <xdr:nvGraphicFramePr>
        <xdr:cNvPr id="17" name="Chart 16">
          <a:extLst>
            <a:ext uri="{FF2B5EF4-FFF2-40B4-BE49-F238E27FC236}">
              <a16:creationId xmlns:a16="http://schemas.microsoft.com/office/drawing/2014/main" id="{A4D6A02D-64B9-4375-948B-8683BBFE5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174624</xdr:colOff>
      <xdr:row>16</xdr:row>
      <xdr:rowOff>142875</xdr:rowOff>
    </xdr:from>
    <xdr:to>
      <xdr:col>10</xdr:col>
      <xdr:colOff>63499</xdr:colOff>
      <xdr:row>19</xdr:row>
      <xdr:rowOff>0</xdr:rowOff>
    </xdr:to>
    <xdr:sp macro="" textlink="">
      <xdr:nvSpPr>
        <xdr:cNvPr id="28" name="Rectangle 27">
          <a:extLst>
            <a:ext uri="{FF2B5EF4-FFF2-40B4-BE49-F238E27FC236}">
              <a16:creationId xmlns:a16="http://schemas.microsoft.com/office/drawing/2014/main" id="{7AA35480-D74C-7742-24F8-C32B0D79AB71}"/>
            </a:ext>
          </a:extLst>
        </xdr:cNvPr>
        <xdr:cNvSpPr/>
      </xdr:nvSpPr>
      <xdr:spPr>
        <a:xfrm>
          <a:off x="1912937" y="3190875"/>
          <a:ext cx="3984625" cy="428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87312</xdr:colOff>
      <xdr:row>16</xdr:row>
      <xdr:rowOff>182563</xdr:rowOff>
    </xdr:from>
    <xdr:to>
      <xdr:col>6</xdr:col>
      <xdr:colOff>79375</xdr:colOff>
      <xdr:row>18</xdr:row>
      <xdr:rowOff>166689</xdr:rowOff>
    </xdr:to>
    <xdr:sp macro="" textlink="">
      <xdr:nvSpPr>
        <xdr:cNvPr id="29" name="TextBox 28">
          <a:extLst>
            <a:ext uri="{FF2B5EF4-FFF2-40B4-BE49-F238E27FC236}">
              <a16:creationId xmlns:a16="http://schemas.microsoft.com/office/drawing/2014/main" id="{7465A6AB-E8F8-187E-8160-B02662215FF3}"/>
            </a:ext>
          </a:extLst>
        </xdr:cNvPr>
        <xdr:cNvSpPr txBox="1"/>
      </xdr:nvSpPr>
      <xdr:spPr>
        <a:xfrm>
          <a:off x="2508250" y="3230563"/>
          <a:ext cx="674688" cy="36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5"/>
              </a:solidFill>
            </a:rPr>
            <a:t>Calls</a:t>
          </a:r>
        </a:p>
        <a:p>
          <a:endParaRPr lang="en-PK" sz="1100"/>
        </a:p>
      </xdr:txBody>
    </xdr:sp>
    <xdr:clientData/>
  </xdr:twoCellAnchor>
  <xdr:twoCellAnchor>
    <xdr:from>
      <xdr:col>7</xdr:col>
      <xdr:colOff>349250</xdr:colOff>
      <xdr:row>17</xdr:row>
      <xdr:rowOff>1</xdr:rowOff>
    </xdr:from>
    <xdr:to>
      <xdr:col>9</xdr:col>
      <xdr:colOff>182563</xdr:colOff>
      <xdr:row>18</xdr:row>
      <xdr:rowOff>166689</xdr:rowOff>
    </xdr:to>
    <xdr:sp macro="" textlink="">
      <xdr:nvSpPr>
        <xdr:cNvPr id="31" name="TextBox 30">
          <a:extLst>
            <a:ext uri="{FF2B5EF4-FFF2-40B4-BE49-F238E27FC236}">
              <a16:creationId xmlns:a16="http://schemas.microsoft.com/office/drawing/2014/main" id="{6E911905-825F-4FDD-AE62-F0E1796899B3}"/>
            </a:ext>
          </a:extLst>
        </xdr:cNvPr>
        <xdr:cNvSpPr txBox="1"/>
      </xdr:nvSpPr>
      <xdr:spPr>
        <a:xfrm>
          <a:off x="4135438" y="3238501"/>
          <a:ext cx="1198563" cy="357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6">
                  <a:lumMod val="75000"/>
                </a:schemeClr>
              </a:solidFill>
            </a:rPr>
            <a:t>Amount</a:t>
          </a:r>
        </a:p>
        <a:p>
          <a:endParaRPr lang="en-PK" sz="1100"/>
        </a:p>
      </xdr:txBody>
    </xdr:sp>
    <xdr:clientData/>
  </xdr:twoCellAnchor>
  <xdr:twoCellAnchor>
    <xdr:from>
      <xdr:col>14</xdr:col>
      <xdr:colOff>647700</xdr:colOff>
      <xdr:row>1</xdr:row>
      <xdr:rowOff>0</xdr:rowOff>
    </xdr:from>
    <xdr:to>
      <xdr:col>18</xdr:col>
      <xdr:colOff>339727</xdr:colOff>
      <xdr:row>12</xdr:row>
      <xdr:rowOff>104775</xdr:rowOff>
    </xdr:to>
    <xdr:graphicFrame macro="">
      <xdr:nvGraphicFramePr>
        <xdr:cNvPr id="32" name="Chart 31">
          <a:extLst>
            <a:ext uri="{FF2B5EF4-FFF2-40B4-BE49-F238E27FC236}">
              <a16:creationId xmlns:a16="http://schemas.microsoft.com/office/drawing/2014/main" id="{11534A49-DA27-44B7-9FEA-B0C1847B4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419100</xdr:colOff>
      <xdr:row>1</xdr:row>
      <xdr:rowOff>0</xdr:rowOff>
    </xdr:from>
    <xdr:to>
      <xdr:col>22</xdr:col>
      <xdr:colOff>542925</xdr:colOff>
      <xdr:row>12</xdr:row>
      <xdr:rowOff>95250</xdr:rowOff>
    </xdr:to>
    <xdr:graphicFrame macro="">
      <xdr:nvGraphicFramePr>
        <xdr:cNvPr id="33" name="Chart 32">
          <a:extLst>
            <a:ext uri="{FF2B5EF4-FFF2-40B4-BE49-F238E27FC236}">
              <a16:creationId xmlns:a16="http://schemas.microsoft.com/office/drawing/2014/main" id="{B553C71D-10D3-48A8-88C4-08F35FF10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18.824458564814" backgroundQuery="1" createdVersion="8" refreshedVersion="8" minRefreshableVersion="3" recordCount="0" supportSubquery="1" supportAdvancedDrill="1" xr:uid="{280C10B7-73F2-459E-8759-40D4951317D7}">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19.598281481478" backgroundQuery="1" createdVersion="8" refreshedVersion="8" minRefreshableVersion="3" recordCount="0" supportSubquery="1" supportAdvancedDrill="1" xr:uid="{C91F18E7-9C39-4CEA-949B-AE474EE474D6}">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19.685466435185" backgroundQuery="1" createdVersion="8" refreshedVersion="8" minRefreshableVersion="3" recordCount="0" supportSubquery="1" supportAdvancedDrill="1" xr:uid="{4B14EE89-868E-49C3-9D91-6A727477FE60}">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19.837928009256" backgroundQuery="1" createdVersion="8" refreshedVersion="8" minRefreshableVersion="3" recordCount="0" supportSubquery="1" supportAdvancedDrill="1" xr:uid="{470B8697-64F8-4674-8979-79BDBC785FB8}">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20.500654629628" backgroundQuery="1" createdVersion="8" refreshedVersion="8" minRefreshableVersion="3" recordCount="0" supportSubquery="1" supportAdvancedDrill="1" xr:uid="{117572B3-5C47-4B6A-AF8D-F55DA54DD14D}">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20.500655324075" backgroundQuery="1" createdVersion="8" refreshedVersion="8" minRefreshableVersion="3" recordCount="0" supportSubquery="1" supportAdvancedDrill="1" xr:uid="{531440E4-1A28-4FC3-818A-316EABE42F23}">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4-03T00:00:00" maxDate="2023-05-16T00:00:00" count="18">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15T00:00:00" u="1"/>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20.500655671298" backgroundQuery="1" createdVersion="8" refreshedVersion="8" minRefreshableVersion="3" recordCount="0" supportSubquery="1" supportAdvancedDrill="1" xr:uid="{9DA31AF9-FB75-45EF-863B-EB594259F7DB}">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20.500656018521" backgroundQuery="1" createdVersion="8" refreshedVersion="8" minRefreshableVersion="3" recordCount="0" supportSubquery="1" supportAdvancedDrill="1" xr:uid="{1681878A-7FF7-49AD-A445-6C311AB0F74A}">
  <cacheSource type="external" connectionId="2"/>
  <cacheFields count="1">
    <cacheField name="[calls].[Representative].[Representative]" caption="Representative" numFmtId="0" hierarchy="3" level="1">
      <sharedItems count="1">
        <s v="R04"/>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20.500656365744" backgroundQuery="1" createdVersion="8" refreshedVersion="8" minRefreshableVersion="3" recordCount="0" supportSubquery="1" supportAdvancedDrill="1" xr:uid="{6D13E782-152D-4894-A6BD-AA11F8A08E9B}">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er Abdullah" refreshedDate="46218.824450115739" backgroundQuery="1" createdVersion="3" refreshedVersion="8" minRefreshableVersion="3" recordCount="0" supportSubquery="1" supportAdvancedDrill="1" xr:uid="{629AF835-8115-46F6-8DD4-319DA5D2CE0A}">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62423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57116D-D173-4750-B5F1-97AABD97CF14}" name="selected rep" cacheId="6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5:A4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6">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305E6E-3E5A-4882-A25A-D5143D236E3B}" name="rep pivot" cacheId="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B828A-7D95-48CF-83E9-B33786E98479}"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2F402A-4755-497A-A83D-CD844B97C30F}"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4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E1E8AB-E9ED-4DCC-BC85-04F6298E8124}" name="rep satisfaction" cacheId="69"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15">
  <location ref="G51:H5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0FC08B-8595-4F8C-A7FE-2EA719953FB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1:D5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8DEFB6-43E5-4CEA-989D-F1574898AFA3}" name="Monthly trend" cacheId="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8:C3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3">
          <reference field="4294967294" count="1" selected="0">
            <x v="0"/>
          </reference>
          <reference field="1" count="1" selected="0">
            <x v="17"/>
          </reference>
          <reference field="2" count="1" selected="0">
            <x v="4"/>
          </reference>
        </references>
      </pivotArea>
    </chartFormat>
    <chartFormat chart="6" format="7">
      <pivotArea type="data" outline="0" fieldPosition="0">
        <references count="2">
          <reference field="4294967294" count="1" selected="0">
            <x v="0"/>
          </reference>
          <reference field="2" count="1" selected="0">
            <x v="11"/>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AAD5F4-580A-4ACF-9381-537893A39538}" name="rep amount" cacheId="3" applyNumberFormats="0" applyBorderFormats="0" applyFontFormats="0" applyPatternFormats="0" applyAlignmentFormats="0" applyWidthHeightFormats="1" dataCaption="Values" grandTotalCaption="Total" missingCaption="0" updatedVersion="8" minRefreshableVersion="3" useAutoFormatting="1" rowGrandTotals="0" itemPrintTitles="1" createdVersion="8" indent="0" outline="1" outlineData="1" multipleFieldFilters="0" chartFormat="15">
  <location ref="K51:Q7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A933D1-D755-452D-8DD5-F59F8EA3D316}" name="Weekday trend" cacheId="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G20:H28"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6"/>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5058459-280E-47E6-8C4A-4AC5C5905CDA}"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Young businessman writing on notebook</v>
  </rv>
  <rv s="0">
    <v>1</v>
    <v>5</v>
    <v>A person in a skirt and a cardigan
Description automatically generated</v>
  </rv>
  <rv s="0">
    <v>2</v>
    <v>5</v>
    <v>A person in a suit and tie
Description automatically generated</v>
  </rv>
  <rv s="0">
    <v>3</v>
    <v>5</v>
    <v>Business woman raising hand</v>
  </rv>
  <rv s="0">
    <v>0</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EDE2249-7859-44B0-A8EA-49B32162AFC8}" sourceName="[calls].[Representative]">
  <pivotTables>
    <pivotTable tabId="6" name="rep pivot"/>
    <pivotTable tabId="6" name="Monthly trend"/>
    <pivotTable tabId="6" name="Weekday trend"/>
    <pivotTable tabId="6" name="selected rep"/>
    <pivotTable tabId="6" name="rep satisfaction"/>
  </pivotTables>
  <data>
    <olap pivotCacheId="115624232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40BAD57-789F-4DBE-9BAD-3067EC180E6A}" cache="Slicer_Representative" caption="Representative" level="1" style="SlicerStyleDark5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6AB171-204E-407E-B877-5670477A3717}" name="Table_ExternalData_1" displayName="Table_ExternalData_1" ref="A3:M329" tableType="queryTable" totalsRowShown="0">
  <autoFilter ref="A3:M329" xr:uid="{286AB171-204E-407E-B877-5670477A3717}"/>
  <tableColumns count="13">
    <tableColumn id="1" xr3:uid="{ABBA57B8-EECB-4E91-84AF-6AA5FBD41741}" uniqueName="1" name="calls[Call number]" queryTableFieldId="1"/>
    <tableColumn id="2" xr3:uid="{8E55845D-93E2-44C1-A96C-43B81FA7FD87}" uniqueName="2" name="calls[Customer ID]" queryTableFieldId="2"/>
    <tableColumn id="3" xr3:uid="{98314FE5-5E8F-479C-8311-34AF588EC332}" uniqueName="3" name="calls[Duration]" queryTableFieldId="3"/>
    <tableColumn id="4" xr3:uid="{1FAEB99E-81CF-4014-A157-6A6D6E4C0478}" uniqueName="4" name="calls[Representative]" queryTableFieldId="4"/>
    <tableColumn id="5" xr3:uid="{3A5019E6-C265-4308-BB44-0C8EFC5A5EBE}" uniqueName="5" name="calls[Date of Call]" queryTableFieldId="5" dataDxfId="15"/>
    <tableColumn id="6" xr3:uid="{3B1C5AFA-1581-48C8-8A11-7B9211FE44E7}" uniqueName="6" name="calls[Purchase Amount]" queryTableFieldId="6"/>
    <tableColumn id="7" xr3:uid="{47687A86-7D15-4D9A-8973-088250A57BD4}" uniqueName="7" name="calls[Satisfaction Rating]" queryTableFieldId="7"/>
    <tableColumn id="8" xr3:uid="{9D2B9AA8-FFFC-40A5-BC5F-8BF6387DFAA0}" uniqueName="8" name="calls[FY]" queryTableFieldId="8"/>
    <tableColumn id="9" xr3:uid="{25BEC9BF-FC53-44CB-A313-29114C05D84B}" uniqueName="9" name="calls[Day of week]" queryTableFieldId="9"/>
    <tableColumn id="10" xr3:uid="{BFBE9F7D-C9FA-4BE4-8AE9-A8D89DC7694D}" uniqueName="10" name="calls[Duration Bucket]" queryTableFieldId="10"/>
    <tableColumn id="11" xr3:uid="{A800F22B-D492-4592-ACEC-8BDB35FB55E2}" uniqueName="11" name="calls[Rating rounded]" queryTableFieldId="11"/>
    <tableColumn id="12" xr3:uid="{41A8E775-B0DC-4E04-8C7E-C8D129B131AB}" uniqueName="12" name="calls[Date of Call (Month)]" queryTableFieldId="12"/>
    <tableColumn id="13" xr3:uid="{E6C180D6-7DDD-4D28-A044-DC211902162A}"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8C2F6-91B2-4301-9DC7-CAEA5CA5E0FF}">
  <dimension ref="A1:M329"/>
  <sheetViews>
    <sheetView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 min="12" max="12" width="25.25" bestFit="1" customWidth="1"/>
    <col min="13" max="13" width="30.375" bestFit="1" customWidth="1"/>
  </cols>
  <sheetData>
    <row r="1" spans="1:13" x14ac:dyDescent="0.25">
      <c r="A1" s="14" t="s">
        <v>1095</v>
      </c>
    </row>
    <row r="3" spans="1:13" x14ac:dyDescent="0.25">
      <c r="A3" t="s">
        <v>1077</v>
      </c>
      <c r="B3" t="s">
        <v>1078</v>
      </c>
      <c r="C3" t="s">
        <v>1079</v>
      </c>
      <c r="D3" t="s">
        <v>1080</v>
      </c>
      <c r="E3" t="s">
        <v>1081</v>
      </c>
      <c r="F3" t="s">
        <v>1082</v>
      </c>
      <c r="G3" t="s">
        <v>1083</v>
      </c>
      <c r="H3" t="s">
        <v>1084</v>
      </c>
      <c r="I3" t="s">
        <v>1085</v>
      </c>
      <c r="J3" t="s">
        <v>1086</v>
      </c>
      <c r="K3" t="s">
        <v>1087</v>
      </c>
      <c r="L3" t="s">
        <v>1088</v>
      </c>
      <c r="M3" t="s">
        <v>1089</v>
      </c>
    </row>
    <row r="4" spans="1:13" x14ac:dyDescent="0.25">
      <c r="A4" t="s">
        <v>32</v>
      </c>
      <c r="B4" t="s">
        <v>15</v>
      </c>
      <c r="C4">
        <v>84</v>
      </c>
      <c r="D4" t="s">
        <v>10</v>
      </c>
      <c r="E4" s="28">
        <v>44929</v>
      </c>
      <c r="F4">
        <v>60</v>
      </c>
      <c r="G4">
        <v>4.7</v>
      </c>
      <c r="H4">
        <v>2023</v>
      </c>
      <c r="I4" t="s">
        <v>1067</v>
      </c>
      <c r="J4" t="s">
        <v>1090</v>
      </c>
      <c r="K4">
        <v>5</v>
      </c>
      <c r="L4" t="s">
        <v>1049</v>
      </c>
      <c r="M4">
        <v>1</v>
      </c>
    </row>
    <row r="5" spans="1:13" x14ac:dyDescent="0.25">
      <c r="A5" t="s">
        <v>35</v>
      </c>
      <c r="B5" t="s">
        <v>18</v>
      </c>
      <c r="C5">
        <v>44</v>
      </c>
      <c r="D5" t="s">
        <v>6</v>
      </c>
      <c r="E5" s="28">
        <v>44929</v>
      </c>
      <c r="F5">
        <v>105</v>
      </c>
      <c r="G5">
        <v>2.9</v>
      </c>
      <c r="H5">
        <v>2023</v>
      </c>
      <c r="I5" t="s">
        <v>1067</v>
      </c>
      <c r="J5" t="s">
        <v>1091</v>
      </c>
      <c r="K5">
        <v>3</v>
      </c>
      <c r="L5" t="s">
        <v>1049</v>
      </c>
      <c r="M5">
        <v>1</v>
      </c>
    </row>
    <row r="6" spans="1:13" x14ac:dyDescent="0.25">
      <c r="A6" t="s">
        <v>37</v>
      </c>
      <c r="B6" t="s">
        <v>14</v>
      </c>
      <c r="C6">
        <v>135</v>
      </c>
      <c r="D6" t="s">
        <v>10</v>
      </c>
      <c r="E6" s="28">
        <v>44929</v>
      </c>
      <c r="F6">
        <v>46</v>
      </c>
      <c r="G6">
        <v>3.4</v>
      </c>
      <c r="H6">
        <v>2023</v>
      </c>
      <c r="I6" t="s">
        <v>1067</v>
      </c>
      <c r="J6" t="s">
        <v>1092</v>
      </c>
      <c r="K6">
        <v>3</v>
      </c>
      <c r="L6" t="s">
        <v>1049</v>
      </c>
      <c r="M6">
        <v>1</v>
      </c>
    </row>
    <row r="7" spans="1:13" x14ac:dyDescent="0.25">
      <c r="A7" t="s">
        <v>39</v>
      </c>
      <c r="B7" t="s">
        <v>18</v>
      </c>
      <c r="C7">
        <v>139</v>
      </c>
      <c r="D7" t="s">
        <v>9</v>
      </c>
      <c r="E7" s="28">
        <v>44930</v>
      </c>
      <c r="F7">
        <v>96</v>
      </c>
      <c r="G7">
        <v>4</v>
      </c>
      <c r="H7">
        <v>2023</v>
      </c>
      <c r="I7" t="s">
        <v>1068</v>
      </c>
      <c r="J7" t="s">
        <v>1092</v>
      </c>
      <c r="K7">
        <v>4</v>
      </c>
      <c r="L7" t="s">
        <v>1049</v>
      </c>
      <c r="M7">
        <v>1</v>
      </c>
    </row>
    <row r="8" spans="1:13" x14ac:dyDescent="0.25">
      <c r="A8" t="s">
        <v>40</v>
      </c>
      <c r="B8" t="s">
        <v>14</v>
      </c>
      <c r="C8">
        <v>48</v>
      </c>
      <c r="D8" t="s">
        <v>11</v>
      </c>
      <c r="E8" s="28">
        <v>44930</v>
      </c>
      <c r="F8">
        <v>68</v>
      </c>
      <c r="G8">
        <v>4.9000000000000004</v>
      </c>
      <c r="H8">
        <v>2023</v>
      </c>
      <c r="I8" t="s">
        <v>1068</v>
      </c>
      <c r="J8" t="s">
        <v>1091</v>
      </c>
      <c r="K8">
        <v>5</v>
      </c>
      <c r="L8" t="s">
        <v>1049</v>
      </c>
      <c r="M8">
        <v>1</v>
      </c>
    </row>
    <row r="9" spans="1:13" x14ac:dyDescent="0.25">
      <c r="A9" t="s">
        <v>41</v>
      </c>
      <c r="B9" t="s">
        <v>18</v>
      </c>
      <c r="C9">
        <v>176</v>
      </c>
      <c r="D9" t="s">
        <v>10</v>
      </c>
      <c r="E9" s="28">
        <v>44931</v>
      </c>
      <c r="F9">
        <v>24</v>
      </c>
      <c r="G9">
        <v>4.8</v>
      </c>
      <c r="H9">
        <v>2023</v>
      </c>
      <c r="I9" t="s">
        <v>1066</v>
      </c>
      <c r="J9" t="s">
        <v>1092</v>
      </c>
      <c r="K9">
        <v>5</v>
      </c>
      <c r="L9" t="s">
        <v>1049</v>
      </c>
      <c r="M9">
        <v>1</v>
      </c>
    </row>
    <row r="10" spans="1:13" x14ac:dyDescent="0.25">
      <c r="A10" t="s">
        <v>42</v>
      </c>
      <c r="B10" t="s">
        <v>18</v>
      </c>
      <c r="C10">
        <v>99</v>
      </c>
      <c r="D10" t="s">
        <v>11</v>
      </c>
      <c r="E10" s="28">
        <v>44931</v>
      </c>
      <c r="F10">
        <v>195</v>
      </c>
      <c r="G10">
        <v>3.9</v>
      </c>
      <c r="H10">
        <v>2023</v>
      </c>
      <c r="I10" t="s">
        <v>1066</v>
      </c>
      <c r="J10" t="s">
        <v>1090</v>
      </c>
      <c r="K10">
        <v>4</v>
      </c>
      <c r="L10" t="s">
        <v>1049</v>
      </c>
      <c r="M10">
        <v>1</v>
      </c>
    </row>
    <row r="11" spans="1:13" x14ac:dyDescent="0.25">
      <c r="A11" t="s">
        <v>44</v>
      </c>
      <c r="B11" t="s">
        <v>15</v>
      </c>
      <c r="C11">
        <v>54</v>
      </c>
      <c r="D11" t="s">
        <v>9</v>
      </c>
      <c r="E11" s="28">
        <v>44931</v>
      </c>
      <c r="F11">
        <v>170</v>
      </c>
      <c r="G11">
        <v>4.3</v>
      </c>
      <c r="H11">
        <v>2023</v>
      </c>
      <c r="I11" t="s">
        <v>1066</v>
      </c>
      <c r="J11" t="s">
        <v>1091</v>
      </c>
      <c r="K11">
        <v>4</v>
      </c>
      <c r="L11" t="s">
        <v>1049</v>
      </c>
      <c r="M11">
        <v>1</v>
      </c>
    </row>
    <row r="12" spans="1:13" x14ac:dyDescent="0.25">
      <c r="A12" t="s">
        <v>49</v>
      </c>
      <c r="B12" t="s">
        <v>19</v>
      </c>
      <c r="C12">
        <v>58</v>
      </c>
      <c r="D12" t="s">
        <v>9</v>
      </c>
      <c r="E12" s="28">
        <v>44934</v>
      </c>
      <c r="F12">
        <v>140</v>
      </c>
      <c r="G12">
        <v>2.1</v>
      </c>
      <c r="H12">
        <v>2023</v>
      </c>
      <c r="I12" t="s">
        <v>1065</v>
      </c>
      <c r="J12" t="s">
        <v>1091</v>
      </c>
      <c r="K12">
        <v>2</v>
      </c>
      <c r="L12" t="s">
        <v>1049</v>
      </c>
      <c r="M12">
        <v>1</v>
      </c>
    </row>
    <row r="13" spans="1:13" x14ac:dyDescent="0.25">
      <c r="A13" t="s">
        <v>50</v>
      </c>
      <c r="B13" t="s">
        <v>18</v>
      </c>
      <c r="C13">
        <v>54</v>
      </c>
      <c r="D13" t="s">
        <v>11</v>
      </c>
      <c r="E13" s="28">
        <v>44934</v>
      </c>
      <c r="F13">
        <v>111</v>
      </c>
      <c r="G13">
        <v>3.3</v>
      </c>
      <c r="H13">
        <v>2023</v>
      </c>
      <c r="I13" t="s">
        <v>1065</v>
      </c>
      <c r="J13" t="s">
        <v>1091</v>
      </c>
      <c r="K13">
        <v>3</v>
      </c>
      <c r="L13" t="s">
        <v>1049</v>
      </c>
      <c r="M13">
        <v>1</v>
      </c>
    </row>
    <row r="14" spans="1:13" x14ac:dyDescent="0.25">
      <c r="A14" t="s">
        <v>55</v>
      </c>
      <c r="B14" t="s">
        <v>19</v>
      </c>
      <c r="C14">
        <v>155</v>
      </c>
      <c r="D14" t="s">
        <v>11</v>
      </c>
      <c r="E14" s="28">
        <v>44936</v>
      </c>
      <c r="F14">
        <v>110</v>
      </c>
      <c r="G14">
        <v>4.8</v>
      </c>
      <c r="H14">
        <v>2023</v>
      </c>
      <c r="I14" t="s">
        <v>1067</v>
      </c>
      <c r="J14" t="s">
        <v>1092</v>
      </c>
      <c r="K14">
        <v>5</v>
      </c>
      <c r="L14" t="s">
        <v>1049</v>
      </c>
      <c r="M14">
        <v>1</v>
      </c>
    </row>
    <row r="15" spans="1:13" x14ac:dyDescent="0.25">
      <c r="A15" t="s">
        <v>62</v>
      </c>
      <c r="B15" t="s">
        <v>19</v>
      </c>
      <c r="C15">
        <v>94</v>
      </c>
      <c r="D15" t="s">
        <v>6</v>
      </c>
      <c r="E15" s="28">
        <v>44942</v>
      </c>
      <c r="F15">
        <v>120</v>
      </c>
      <c r="G15">
        <v>3.1</v>
      </c>
      <c r="H15">
        <v>2023</v>
      </c>
      <c r="I15" t="s">
        <v>1063</v>
      </c>
      <c r="J15" t="s">
        <v>1090</v>
      </c>
      <c r="K15">
        <v>3</v>
      </c>
      <c r="L15" t="s">
        <v>1049</v>
      </c>
      <c r="M15">
        <v>1</v>
      </c>
    </row>
    <row r="16" spans="1:13" x14ac:dyDescent="0.25">
      <c r="A16" t="s">
        <v>64</v>
      </c>
      <c r="B16" t="s">
        <v>19</v>
      </c>
      <c r="C16">
        <v>81</v>
      </c>
      <c r="D16" t="s">
        <v>13</v>
      </c>
      <c r="E16" s="28">
        <v>44943</v>
      </c>
      <c r="F16">
        <v>86</v>
      </c>
      <c r="G16">
        <v>2.4</v>
      </c>
      <c r="H16">
        <v>2023</v>
      </c>
      <c r="I16" t="s">
        <v>1067</v>
      </c>
      <c r="J16" t="s">
        <v>1090</v>
      </c>
      <c r="K16">
        <v>2</v>
      </c>
      <c r="L16" t="s">
        <v>1049</v>
      </c>
      <c r="M16">
        <v>1</v>
      </c>
    </row>
    <row r="17" spans="1:13" x14ac:dyDescent="0.25">
      <c r="A17" t="s">
        <v>67</v>
      </c>
      <c r="B17" t="s">
        <v>18</v>
      </c>
      <c r="C17">
        <v>105</v>
      </c>
      <c r="D17" t="s">
        <v>9</v>
      </c>
      <c r="E17" s="28">
        <v>44944</v>
      </c>
      <c r="F17">
        <v>80</v>
      </c>
      <c r="G17">
        <v>4.7</v>
      </c>
      <c r="H17">
        <v>2023</v>
      </c>
      <c r="I17" t="s">
        <v>1068</v>
      </c>
      <c r="J17" t="s">
        <v>1090</v>
      </c>
      <c r="K17">
        <v>5</v>
      </c>
      <c r="L17" t="s">
        <v>1049</v>
      </c>
      <c r="M17">
        <v>1</v>
      </c>
    </row>
    <row r="18" spans="1:13" x14ac:dyDescent="0.25">
      <c r="A18" t="s">
        <v>69</v>
      </c>
      <c r="B18" t="s">
        <v>14</v>
      </c>
      <c r="C18">
        <v>132</v>
      </c>
      <c r="D18" t="s">
        <v>6</v>
      </c>
      <c r="E18" s="28">
        <v>44944</v>
      </c>
      <c r="F18">
        <v>168</v>
      </c>
      <c r="G18">
        <v>4.0999999999999996</v>
      </c>
      <c r="H18">
        <v>2023</v>
      </c>
      <c r="I18" t="s">
        <v>1068</v>
      </c>
      <c r="J18" t="s">
        <v>1092</v>
      </c>
      <c r="K18">
        <v>4</v>
      </c>
      <c r="L18" t="s">
        <v>1049</v>
      </c>
      <c r="M18">
        <v>1</v>
      </c>
    </row>
    <row r="19" spans="1:13" x14ac:dyDescent="0.25">
      <c r="A19" t="s">
        <v>77</v>
      </c>
      <c r="B19" t="s">
        <v>14</v>
      </c>
      <c r="C19">
        <v>100</v>
      </c>
      <c r="D19" t="s">
        <v>13</v>
      </c>
      <c r="E19" s="28">
        <v>44947</v>
      </c>
      <c r="F19">
        <v>135</v>
      </c>
      <c r="G19">
        <v>3.8</v>
      </c>
      <c r="H19">
        <v>2023</v>
      </c>
      <c r="I19" t="s">
        <v>1064</v>
      </c>
      <c r="J19" t="s">
        <v>1090</v>
      </c>
      <c r="K19">
        <v>4</v>
      </c>
      <c r="L19" t="s">
        <v>1049</v>
      </c>
      <c r="M19">
        <v>1</v>
      </c>
    </row>
    <row r="20" spans="1:13" x14ac:dyDescent="0.25">
      <c r="A20" t="s">
        <v>78</v>
      </c>
      <c r="B20" t="s">
        <v>14</v>
      </c>
      <c r="C20">
        <v>79</v>
      </c>
      <c r="D20" t="s">
        <v>6</v>
      </c>
      <c r="E20" s="28">
        <v>44947</v>
      </c>
      <c r="F20">
        <v>140</v>
      </c>
      <c r="G20">
        <v>4.5</v>
      </c>
      <c r="H20">
        <v>2023</v>
      </c>
      <c r="I20" t="s">
        <v>1064</v>
      </c>
      <c r="J20" t="s">
        <v>1090</v>
      </c>
      <c r="K20">
        <v>5</v>
      </c>
      <c r="L20" t="s">
        <v>1049</v>
      </c>
      <c r="M20">
        <v>1</v>
      </c>
    </row>
    <row r="21" spans="1:13" x14ac:dyDescent="0.25">
      <c r="A21" t="s">
        <v>79</v>
      </c>
      <c r="B21" t="s">
        <v>5</v>
      </c>
      <c r="C21">
        <v>157</v>
      </c>
      <c r="D21" t="s">
        <v>11</v>
      </c>
      <c r="E21" s="28">
        <v>44947</v>
      </c>
      <c r="F21">
        <v>69</v>
      </c>
      <c r="G21">
        <v>4.5</v>
      </c>
      <c r="H21">
        <v>2023</v>
      </c>
      <c r="I21" t="s">
        <v>1064</v>
      </c>
      <c r="J21" t="s">
        <v>1092</v>
      </c>
      <c r="K21">
        <v>5</v>
      </c>
      <c r="L21" t="s">
        <v>1049</v>
      </c>
      <c r="M21">
        <v>1</v>
      </c>
    </row>
    <row r="22" spans="1:13" x14ac:dyDescent="0.25">
      <c r="A22" t="s">
        <v>80</v>
      </c>
      <c r="B22" t="s">
        <v>14</v>
      </c>
      <c r="C22">
        <v>59</v>
      </c>
      <c r="D22" t="s">
        <v>10</v>
      </c>
      <c r="E22" s="28">
        <v>44948</v>
      </c>
      <c r="F22">
        <v>136</v>
      </c>
      <c r="G22">
        <v>4.5999999999999996</v>
      </c>
      <c r="H22">
        <v>2023</v>
      </c>
      <c r="I22" t="s">
        <v>1065</v>
      </c>
      <c r="J22" t="s">
        <v>1091</v>
      </c>
      <c r="K22">
        <v>5</v>
      </c>
      <c r="L22" t="s">
        <v>1049</v>
      </c>
      <c r="M22">
        <v>1</v>
      </c>
    </row>
    <row r="23" spans="1:13" x14ac:dyDescent="0.25">
      <c r="A23" t="s">
        <v>82</v>
      </c>
      <c r="B23" t="s">
        <v>5</v>
      </c>
      <c r="C23">
        <v>58</v>
      </c>
      <c r="D23" t="s">
        <v>9</v>
      </c>
      <c r="E23" s="28">
        <v>44949</v>
      </c>
      <c r="F23">
        <v>135</v>
      </c>
      <c r="G23">
        <v>3.3</v>
      </c>
      <c r="H23">
        <v>2023</v>
      </c>
      <c r="I23" t="s">
        <v>1063</v>
      </c>
      <c r="J23" t="s">
        <v>1091</v>
      </c>
      <c r="K23">
        <v>3</v>
      </c>
      <c r="L23" t="s">
        <v>1049</v>
      </c>
      <c r="M23">
        <v>1</v>
      </c>
    </row>
    <row r="24" spans="1:13" x14ac:dyDescent="0.25">
      <c r="A24" t="s">
        <v>83</v>
      </c>
      <c r="B24" t="s">
        <v>19</v>
      </c>
      <c r="C24">
        <v>118</v>
      </c>
      <c r="D24" t="s">
        <v>9</v>
      </c>
      <c r="E24" s="28">
        <v>44949</v>
      </c>
      <c r="F24">
        <v>126</v>
      </c>
      <c r="G24">
        <v>2.2999999999999998</v>
      </c>
      <c r="H24">
        <v>2023</v>
      </c>
      <c r="I24" t="s">
        <v>1063</v>
      </c>
      <c r="J24" t="s">
        <v>1090</v>
      </c>
      <c r="K24">
        <v>2</v>
      </c>
      <c r="L24" t="s">
        <v>1049</v>
      </c>
      <c r="M24">
        <v>1</v>
      </c>
    </row>
    <row r="25" spans="1:13" x14ac:dyDescent="0.25">
      <c r="A25" t="s">
        <v>85</v>
      </c>
      <c r="B25" t="s">
        <v>5</v>
      </c>
      <c r="C25">
        <v>95</v>
      </c>
      <c r="D25" t="s">
        <v>9</v>
      </c>
      <c r="E25" s="28">
        <v>44950</v>
      </c>
      <c r="F25">
        <v>48</v>
      </c>
      <c r="G25">
        <v>4.5999999999999996</v>
      </c>
      <c r="H25">
        <v>2023</v>
      </c>
      <c r="I25" t="s">
        <v>1067</v>
      </c>
      <c r="J25" t="s">
        <v>1090</v>
      </c>
      <c r="K25">
        <v>5</v>
      </c>
      <c r="L25" t="s">
        <v>1049</v>
      </c>
      <c r="M25">
        <v>1</v>
      </c>
    </row>
    <row r="26" spans="1:13" x14ac:dyDescent="0.25">
      <c r="A26" t="s">
        <v>86</v>
      </c>
      <c r="B26" t="s">
        <v>14</v>
      </c>
      <c r="C26">
        <v>74</v>
      </c>
      <c r="D26" t="s">
        <v>11</v>
      </c>
      <c r="E26" s="28">
        <v>44950</v>
      </c>
      <c r="F26">
        <v>66</v>
      </c>
      <c r="G26">
        <v>4</v>
      </c>
      <c r="H26">
        <v>2023</v>
      </c>
      <c r="I26" t="s">
        <v>1067</v>
      </c>
      <c r="J26" t="s">
        <v>1090</v>
      </c>
      <c r="K26">
        <v>4</v>
      </c>
      <c r="L26" t="s">
        <v>1049</v>
      </c>
      <c r="M26">
        <v>1</v>
      </c>
    </row>
    <row r="27" spans="1:13" x14ac:dyDescent="0.25">
      <c r="A27" t="s">
        <v>87</v>
      </c>
      <c r="B27" t="s">
        <v>18</v>
      </c>
      <c r="C27">
        <v>130</v>
      </c>
      <c r="D27" t="s">
        <v>13</v>
      </c>
      <c r="E27" s="28">
        <v>44950</v>
      </c>
      <c r="F27">
        <v>126</v>
      </c>
      <c r="G27">
        <v>2.5</v>
      </c>
      <c r="H27">
        <v>2023</v>
      </c>
      <c r="I27" t="s">
        <v>1067</v>
      </c>
      <c r="J27" t="s">
        <v>1092</v>
      </c>
      <c r="K27">
        <v>3</v>
      </c>
      <c r="L27" t="s">
        <v>1049</v>
      </c>
      <c r="M27">
        <v>1</v>
      </c>
    </row>
    <row r="28" spans="1:13" x14ac:dyDescent="0.25">
      <c r="A28" t="s">
        <v>88</v>
      </c>
      <c r="B28" t="s">
        <v>19</v>
      </c>
      <c r="C28">
        <v>110</v>
      </c>
      <c r="D28" t="s">
        <v>6</v>
      </c>
      <c r="E28" s="28">
        <v>44950</v>
      </c>
      <c r="F28">
        <v>96</v>
      </c>
      <c r="G28">
        <v>5</v>
      </c>
      <c r="H28">
        <v>2023</v>
      </c>
      <c r="I28" t="s">
        <v>1067</v>
      </c>
      <c r="J28" t="s">
        <v>1090</v>
      </c>
      <c r="K28">
        <v>5</v>
      </c>
      <c r="L28" t="s">
        <v>1049</v>
      </c>
      <c r="M28">
        <v>1</v>
      </c>
    </row>
    <row r="29" spans="1:13" x14ac:dyDescent="0.25">
      <c r="A29" t="s">
        <v>89</v>
      </c>
      <c r="B29" t="s">
        <v>14</v>
      </c>
      <c r="C29">
        <v>71</v>
      </c>
      <c r="D29" t="s">
        <v>10</v>
      </c>
      <c r="E29" s="28">
        <v>44951</v>
      </c>
      <c r="F29">
        <v>90</v>
      </c>
      <c r="G29">
        <v>3.8</v>
      </c>
      <c r="H29">
        <v>2023</v>
      </c>
      <c r="I29" t="s">
        <v>1068</v>
      </c>
      <c r="J29" t="s">
        <v>1090</v>
      </c>
      <c r="K29">
        <v>4</v>
      </c>
      <c r="L29" t="s">
        <v>1049</v>
      </c>
      <c r="M29">
        <v>1</v>
      </c>
    </row>
    <row r="30" spans="1:13" x14ac:dyDescent="0.25">
      <c r="A30" t="s">
        <v>92</v>
      </c>
      <c r="B30" t="s">
        <v>19</v>
      </c>
      <c r="C30">
        <v>50</v>
      </c>
      <c r="D30" t="s">
        <v>10</v>
      </c>
      <c r="E30" s="28">
        <v>44952</v>
      </c>
      <c r="F30">
        <v>60</v>
      </c>
      <c r="G30">
        <v>2</v>
      </c>
      <c r="H30">
        <v>2023</v>
      </c>
      <c r="I30" t="s">
        <v>1066</v>
      </c>
      <c r="J30" t="s">
        <v>1091</v>
      </c>
      <c r="K30">
        <v>2</v>
      </c>
      <c r="L30" t="s">
        <v>1049</v>
      </c>
      <c r="M30">
        <v>1</v>
      </c>
    </row>
    <row r="31" spans="1:13" x14ac:dyDescent="0.25">
      <c r="A31" t="s">
        <v>93</v>
      </c>
      <c r="B31" t="s">
        <v>18</v>
      </c>
      <c r="C31">
        <v>124</v>
      </c>
      <c r="D31" t="s">
        <v>13</v>
      </c>
      <c r="E31" s="28">
        <v>44953</v>
      </c>
      <c r="F31">
        <v>215</v>
      </c>
      <c r="G31">
        <v>4.0999999999999996</v>
      </c>
      <c r="H31">
        <v>2023</v>
      </c>
      <c r="I31" t="s">
        <v>1062</v>
      </c>
      <c r="J31" t="s">
        <v>1092</v>
      </c>
      <c r="K31">
        <v>4</v>
      </c>
      <c r="L31" t="s">
        <v>1049</v>
      </c>
      <c r="M31">
        <v>1</v>
      </c>
    </row>
    <row r="32" spans="1:13" x14ac:dyDescent="0.25">
      <c r="A32" t="s">
        <v>98</v>
      </c>
      <c r="B32" t="s">
        <v>14</v>
      </c>
      <c r="C32">
        <v>67</v>
      </c>
      <c r="D32" t="s">
        <v>11</v>
      </c>
      <c r="E32" s="28">
        <v>44954</v>
      </c>
      <c r="F32">
        <v>168</v>
      </c>
      <c r="G32">
        <v>2.6</v>
      </c>
      <c r="H32">
        <v>2023</v>
      </c>
      <c r="I32" t="s">
        <v>1064</v>
      </c>
      <c r="J32" t="s">
        <v>1090</v>
      </c>
      <c r="K32">
        <v>3</v>
      </c>
      <c r="L32" t="s">
        <v>1049</v>
      </c>
      <c r="M32">
        <v>1</v>
      </c>
    </row>
    <row r="33" spans="1:13" x14ac:dyDescent="0.25">
      <c r="A33" t="s">
        <v>99</v>
      </c>
      <c r="B33" t="s">
        <v>5</v>
      </c>
      <c r="C33">
        <v>114</v>
      </c>
      <c r="D33" t="s">
        <v>6</v>
      </c>
      <c r="E33" s="28">
        <v>44956</v>
      </c>
      <c r="F33">
        <v>42</v>
      </c>
      <c r="G33">
        <v>2.6</v>
      </c>
      <c r="H33">
        <v>2023</v>
      </c>
      <c r="I33" t="s">
        <v>1063</v>
      </c>
      <c r="J33" t="s">
        <v>1090</v>
      </c>
      <c r="K33">
        <v>3</v>
      </c>
      <c r="L33" t="s">
        <v>1049</v>
      </c>
      <c r="M33">
        <v>1</v>
      </c>
    </row>
    <row r="34" spans="1:13" x14ac:dyDescent="0.25">
      <c r="A34" t="s">
        <v>102</v>
      </c>
      <c r="B34" t="s">
        <v>18</v>
      </c>
      <c r="C34">
        <v>145</v>
      </c>
      <c r="D34" t="s">
        <v>9</v>
      </c>
      <c r="E34" s="28">
        <v>44956</v>
      </c>
      <c r="F34">
        <v>78</v>
      </c>
      <c r="G34">
        <v>1.9</v>
      </c>
      <c r="H34">
        <v>2023</v>
      </c>
      <c r="I34" t="s">
        <v>1063</v>
      </c>
      <c r="J34" t="s">
        <v>1092</v>
      </c>
      <c r="K34">
        <v>2</v>
      </c>
      <c r="L34" t="s">
        <v>1049</v>
      </c>
      <c r="M34">
        <v>1</v>
      </c>
    </row>
    <row r="35" spans="1:13" x14ac:dyDescent="0.25">
      <c r="A35" t="s">
        <v>106</v>
      </c>
      <c r="B35" t="s">
        <v>18</v>
      </c>
      <c r="C35">
        <v>45</v>
      </c>
      <c r="D35" t="s">
        <v>13</v>
      </c>
      <c r="E35" s="28">
        <v>44958</v>
      </c>
      <c r="F35">
        <v>34</v>
      </c>
      <c r="G35">
        <v>3.7</v>
      </c>
      <c r="H35">
        <v>2023</v>
      </c>
      <c r="I35" t="s">
        <v>1068</v>
      </c>
      <c r="J35" t="s">
        <v>1091</v>
      </c>
      <c r="K35">
        <v>4</v>
      </c>
      <c r="L35" t="s">
        <v>1050</v>
      </c>
      <c r="M35">
        <v>2</v>
      </c>
    </row>
    <row r="36" spans="1:13" x14ac:dyDescent="0.25">
      <c r="A36" t="s">
        <v>108</v>
      </c>
      <c r="B36" t="s">
        <v>5</v>
      </c>
      <c r="C36">
        <v>109</v>
      </c>
      <c r="D36" t="s">
        <v>10</v>
      </c>
      <c r="E36" s="28">
        <v>44958</v>
      </c>
      <c r="F36">
        <v>105</v>
      </c>
      <c r="G36">
        <v>3.3</v>
      </c>
      <c r="H36">
        <v>2023</v>
      </c>
      <c r="I36" t="s">
        <v>1068</v>
      </c>
      <c r="J36" t="s">
        <v>1090</v>
      </c>
      <c r="K36">
        <v>3</v>
      </c>
      <c r="L36" t="s">
        <v>1050</v>
      </c>
      <c r="M36">
        <v>2</v>
      </c>
    </row>
    <row r="37" spans="1:13" x14ac:dyDescent="0.25">
      <c r="A37" t="s">
        <v>112</v>
      </c>
      <c r="B37" t="s">
        <v>19</v>
      </c>
      <c r="C37">
        <v>100</v>
      </c>
      <c r="D37" t="s">
        <v>10</v>
      </c>
      <c r="E37" s="28">
        <v>44959</v>
      </c>
      <c r="F37">
        <v>135</v>
      </c>
      <c r="G37">
        <v>4</v>
      </c>
      <c r="H37">
        <v>2023</v>
      </c>
      <c r="I37" t="s">
        <v>1066</v>
      </c>
      <c r="J37" t="s">
        <v>1090</v>
      </c>
      <c r="K37">
        <v>4</v>
      </c>
      <c r="L37" t="s">
        <v>1050</v>
      </c>
      <c r="M37">
        <v>2</v>
      </c>
    </row>
    <row r="38" spans="1:13" x14ac:dyDescent="0.25">
      <c r="A38" t="s">
        <v>114</v>
      </c>
      <c r="B38" t="s">
        <v>5</v>
      </c>
      <c r="C38">
        <v>87</v>
      </c>
      <c r="D38" t="s">
        <v>11</v>
      </c>
      <c r="E38" s="28">
        <v>44959</v>
      </c>
      <c r="F38">
        <v>155</v>
      </c>
      <c r="G38">
        <v>4.5</v>
      </c>
      <c r="H38">
        <v>2023</v>
      </c>
      <c r="I38" t="s">
        <v>1066</v>
      </c>
      <c r="J38" t="s">
        <v>1090</v>
      </c>
      <c r="K38">
        <v>5</v>
      </c>
      <c r="L38" t="s">
        <v>1050</v>
      </c>
      <c r="M38">
        <v>2</v>
      </c>
    </row>
    <row r="39" spans="1:13" x14ac:dyDescent="0.25">
      <c r="A39" t="s">
        <v>116</v>
      </c>
      <c r="B39" t="s">
        <v>19</v>
      </c>
      <c r="C39">
        <v>84</v>
      </c>
      <c r="D39" t="s">
        <v>10</v>
      </c>
      <c r="E39" s="28">
        <v>44961</v>
      </c>
      <c r="F39">
        <v>195</v>
      </c>
      <c r="G39">
        <v>4.0999999999999996</v>
      </c>
      <c r="H39">
        <v>2023</v>
      </c>
      <c r="I39" t="s">
        <v>1064</v>
      </c>
      <c r="J39" t="s">
        <v>1090</v>
      </c>
      <c r="K39">
        <v>4</v>
      </c>
      <c r="L39" t="s">
        <v>1050</v>
      </c>
      <c r="M39">
        <v>2</v>
      </c>
    </row>
    <row r="40" spans="1:13" x14ac:dyDescent="0.25">
      <c r="A40" t="s">
        <v>118</v>
      </c>
      <c r="B40" t="s">
        <v>15</v>
      </c>
      <c r="C40">
        <v>135</v>
      </c>
      <c r="D40" t="s">
        <v>13</v>
      </c>
      <c r="E40" s="28">
        <v>44964</v>
      </c>
      <c r="F40">
        <v>35</v>
      </c>
      <c r="G40">
        <v>4.8</v>
      </c>
      <c r="H40">
        <v>2023</v>
      </c>
      <c r="I40" t="s">
        <v>1067</v>
      </c>
      <c r="J40" t="s">
        <v>1092</v>
      </c>
      <c r="K40">
        <v>5</v>
      </c>
      <c r="L40" t="s">
        <v>1050</v>
      </c>
      <c r="M40">
        <v>2</v>
      </c>
    </row>
    <row r="41" spans="1:13" x14ac:dyDescent="0.25">
      <c r="A41" t="s">
        <v>126</v>
      </c>
      <c r="B41" t="s">
        <v>14</v>
      </c>
      <c r="C41">
        <v>95</v>
      </c>
      <c r="D41" t="s">
        <v>10</v>
      </c>
      <c r="E41" s="28">
        <v>44967</v>
      </c>
      <c r="F41">
        <v>66</v>
      </c>
      <c r="G41">
        <v>4.5999999999999996</v>
      </c>
      <c r="H41">
        <v>2023</v>
      </c>
      <c r="I41" t="s">
        <v>1062</v>
      </c>
      <c r="J41" t="s">
        <v>1090</v>
      </c>
      <c r="K41">
        <v>5</v>
      </c>
      <c r="L41" t="s">
        <v>1050</v>
      </c>
      <c r="M41">
        <v>2</v>
      </c>
    </row>
    <row r="42" spans="1:13" x14ac:dyDescent="0.25">
      <c r="A42" t="s">
        <v>133</v>
      </c>
      <c r="B42" t="s">
        <v>19</v>
      </c>
      <c r="C42">
        <v>137</v>
      </c>
      <c r="D42" t="s">
        <v>11</v>
      </c>
      <c r="E42" s="28">
        <v>44970</v>
      </c>
      <c r="F42">
        <v>34</v>
      </c>
      <c r="G42">
        <v>2.9</v>
      </c>
      <c r="H42">
        <v>2023</v>
      </c>
      <c r="I42" t="s">
        <v>1063</v>
      </c>
      <c r="J42" t="s">
        <v>1092</v>
      </c>
      <c r="K42">
        <v>3</v>
      </c>
      <c r="L42" t="s">
        <v>1050</v>
      </c>
      <c r="M42">
        <v>2</v>
      </c>
    </row>
    <row r="43" spans="1:13" x14ac:dyDescent="0.25">
      <c r="A43" t="s">
        <v>139</v>
      </c>
      <c r="B43" t="s">
        <v>18</v>
      </c>
      <c r="C43">
        <v>38</v>
      </c>
      <c r="D43" t="s">
        <v>13</v>
      </c>
      <c r="E43" s="28">
        <v>44972</v>
      </c>
      <c r="F43">
        <v>100</v>
      </c>
      <c r="G43">
        <v>4.8</v>
      </c>
      <c r="H43">
        <v>2023</v>
      </c>
      <c r="I43" t="s">
        <v>1068</v>
      </c>
      <c r="J43" t="s">
        <v>1091</v>
      </c>
      <c r="K43">
        <v>5</v>
      </c>
      <c r="L43" t="s">
        <v>1050</v>
      </c>
      <c r="M43">
        <v>2</v>
      </c>
    </row>
    <row r="44" spans="1:13" x14ac:dyDescent="0.25">
      <c r="A44" t="s">
        <v>140</v>
      </c>
      <c r="B44" t="s">
        <v>14</v>
      </c>
      <c r="C44">
        <v>55</v>
      </c>
      <c r="D44" t="s">
        <v>11</v>
      </c>
      <c r="E44" s="28">
        <v>44972</v>
      </c>
      <c r="F44">
        <v>23</v>
      </c>
      <c r="G44">
        <v>3.6</v>
      </c>
      <c r="H44">
        <v>2023</v>
      </c>
      <c r="I44" t="s">
        <v>1068</v>
      </c>
      <c r="J44" t="s">
        <v>1091</v>
      </c>
      <c r="K44">
        <v>4</v>
      </c>
      <c r="L44" t="s">
        <v>1050</v>
      </c>
      <c r="M44">
        <v>2</v>
      </c>
    </row>
    <row r="45" spans="1:13" x14ac:dyDescent="0.25">
      <c r="A45" t="s">
        <v>147</v>
      </c>
      <c r="B45" t="s">
        <v>15</v>
      </c>
      <c r="C45">
        <v>155</v>
      </c>
      <c r="D45" t="s">
        <v>10</v>
      </c>
      <c r="E45" s="28">
        <v>44975</v>
      </c>
      <c r="F45">
        <v>180</v>
      </c>
      <c r="G45">
        <v>2.2000000000000002</v>
      </c>
      <c r="H45">
        <v>2023</v>
      </c>
      <c r="I45" t="s">
        <v>1064</v>
      </c>
      <c r="J45" t="s">
        <v>1092</v>
      </c>
      <c r="K45">
        <v>2</v>
      </c>
      <c r="L45" t="s">
        <v>1050</v>
      </c>
      <c r="M45">
        <v>2</v>
      </c>
    </row>
    <row r="46" spans="1:13" x14ac:dyDescent="0.25">
      <c r="A46" t="s">
        <v>149</v>
      </c>
      <c r="B46" t="s">
        <v>18</v>
      </c>
      <c r="C46">
        <v>95</v>
      </c>
      <c r="D46" t="s">
        <v>9</v>
      </c>
      <c r="E46" s="28">
        <v>44975</v>
      </c>
      <c r="F46">
        <v>52</v>
      </c>
      <c r="G46">
        <v>4.8</v>
      </c>
      <c r="H46">
        <v>2023</v>
      </c>
      <c r="I46" t="s">
        <v>1064</v>
      </c>
      <c r="J46" t="s">
        <v>1090</v>
      </c>
      <c r="K46">
        <v>5</v>
      </c>
      <c r="L46" t="s">
        <v>1050</v>
      </c>
      <c r="M46">
        <v>2</v>
      </c>
    </row>
    <row r="47" spans="1:13" x14ac:dyDescent="0.25">
      <c r="A47" t="s">
        <v>150</v>
      </c>
      <c r="B47" t="s">
        <v>19</v>
      </c>
      <c r="C47">
        <v>65</v>
      </c>
      <c r="D47" t="s">
        <v>10</v>
      </c>
      <c r="E47" s="28">
        <v>44976</v>
      </c>
      <c r="F47">
        <v>80</v>
      </c>
      <c r="G47">
        <v>4</v>
      </c>
      <c r="H47">
        <v>2023</v>
      </c>
      <c r="I47" t="s">
        <v>1065</v>
      </c>
      <c r="J47" t="s">
        <v>1090</v>
      </c>
      <c r="K47">
        <v>4</v>
      </c>
      <c r="L47" t="s">
        <v>1050</v>
      </c>
      <c r="M47">
        <v>2</v>
      </c>
    </row>
    <row r="48" spans="1:13" x14ac:dyDescent="0.25">
      <c r="A48" t="s">
        <v>153</v>
      </c>
      <c r="B48" t="s">
        <v>19</v>
      </c>
      <c r="C48">
        <v>114</v>
      </c>
      <c r="D48" t="s">
        <v>10</v>
      </c>
      <c r="E48" s="28">
        <v>44978</v>
      </c>
      <c r="F48">
        <v>120</v>
      </c>
      <c r="G48">
        <v>1.8</v>
      </c>
      <c r="H48">
        <v>2023</v>
      </c>
      <c r="I48" t="s">
        <v>1067</v>
      </c>
      <c r="J48" t="s">
        <v>1090</v>
      </c>
      <c r="K48">
        <v>2</v>
      </c>
      <c r="L48" t="s">
        <v>1050</v>
      </c>
      <c r="M48">
        <v>2</v>
      </c>
    </row>
    <row r="49" spans="1:13" x14ac:dyDescent="0.25">
      <c r="A49" t="s">
        <v>154</v>
      </c>
      <c r="B49" t="s">
        <v>15</v>
      </c>
      <c r="C49">
        <v>130</v>
      </c>
      <c r="D49" t="s">
        <v>13</v>
      </c>
      <c r="E49" s="28">
        <v>44978</v>
      </c>
      <c r="F49">
        <v>150</v>
      </c>
      <c r="G49">
        <v>1</v>
      </c>
      <c r="H49">
        <v>2023</v>
      </c>
      <c r="I49" t="s">
        <v>1067</v>
      </c>
      <c r="J49" t="s">
        <v>1092</v>
      </c>
      <c r="K49">
        <v>1</v>
      </c>
      <c r="L49" t="s">
        <v>1050</v>
      </c>
      <c r="M49">
        <v>2</v>
      </c>
    </row>
    <row r="50" spans="1:13" x14ac:dyDescent="0.25">
      <c r="A50" t="s">
        <v>157</v>
      </c>
      <c r="B50" t="s">
        <v>18</v>
      </c>
      <c r="C50">
        <v>154</v>
      </c>
      <c r="D50" t="s">
        <v>11</v>
      </c>
      <c r="E50" s="28">
        <v>44979</v>
      </c>
      <c r="F50">
        <v>22</v>
      </c>
      <c r="G50">
        <v>3.4</v>
      </c>
      <c r="H50">
        <v>2023</v>
      </c>
      <c r="I50" t="s">
        <v>1068</v>
      </c>
      <c r="J50" t="s">
        <v>1092</v>
      </c>
      <c r="K50">
        <v>3</v>
      </c>
      <c r="L50" t="s">
        <v>1050</v>
      </c>
      <c r="M50">
        <v>2</v>
      </c>
    </row>
    <row r="51" spans="1:13" x14ac:dyDescent="0.25">
      <c r="A51" t="s">
        <v>158</v>
      </c>
      <c r="B51" t="s">
        <v>19</v>
      </c>
      <c r="C51">
        <v>115</v>
      </c>
      <c r="D51" t="s">
        <v>13</v>
      </c>
      <c r="E51" s="28">
        <v>44980</v>
      </c>
      <c r="F51">
        <v>150</v>
      </c>
      <c r="G51">
        <v>4.0999999999999996</v>
      </c>
      <c r="H51">
        <v>2023</v>
      </c>
      <c r="I51" t="s">
        <v>1066</v>
      </c>
      <c r="J51" t="s">
        <v>1090</v>
      </c>
      <c r="K51">
        <v>4</v>
      </c>
      <c r="L51" t="s">
        <v>1050</v>
      </c>
      <c r="M51">
        <v>2</v>
      </c>
    </row>
    <row r="52" spans="1:13" x14ac:dyDescent="0.25">
      <c r="A52" t="s">
        <v>159</v>
      </c>
      <c r="B52" t="s">
        <v>5</v>
      </c>
      <c r="C52">
        <v>138</v>
      </c>
      <c r="D52" t="s">
        <v>9</v>
      </c>
      <c r="E52" s="28">
        <v>44981</v>
      </c>
      <c r="F52">
        <v>35</v>
      </c>
      <c r="G52">
        <v>4.8</v>
      </c>
      <c r="H52">
        <v>2023</v>
      </c>
      <c r="I52" t="s">
        <v>1062</v>
      </c>
      <c r="J52" t="s">
        <v>1092</v>
      </c>
      <c r="K52">
        <v>5</v>
      </c>
      <c r="L52" t="s">
        <v>1050</v>
      </c>
      <c r="M52">
        <v>2</v>
      </c>
    </row>
    <row r="53" spans="1:13" x14ac:dyDescent="0.25">
      <c r="A53" t="s">
        <v>161</v>
      </c>
      <c r="B53" t="s">
        <v>19</v>
      </c>
      <c r="C53">
        <v>61</v>
      </c>
      <c r="D53" t="s">
        <v>6</v>
      </c>
      <c r="E53" s="28">
        <v>44982</v>
      </c>
      <c r="F53">
        <v>150</v>
      </c>
      <c r="G53">
        <v>4.5999999999999996</v>
      </c>
      <c r="H53">
        <v>2023</v>
      </c>
      <c r="I53" t="s">
        <v>1064</v>
      </c>
      <c r="J53" t="s">
        <v>1090</v>
      </c>
      <c r="K53">
        <v>5</v>
      </c>
      <c r="L53" t="s">
        <v>1050</v>
      </c>
      <c r="M53">
        <v>2</v>
      </c>
    </row>
    <row r="54" spans="1:13" x14ac:dyDescent="0.25">
      <c r="A54" t="s">
        <v>175</v>
      </c>
      <c r="B54" t="s">
        <v>19</v>
      </c>
      <c r="C54">
        <v>152</v>
      </c>
      <c r="D54" t="s">
        <v>11</v>
      </c>
      <c r="E54" s="28">
        <v>44986</v>
      </c>
      <c r="F54">
        <v>215</v>
      </c>
      <c r="G54">
        <v>4.4000000000000004</v>
      </c>
      <c r="H54">
        <v>2023</v>
      </c>
      <c r="I54" t="s">
        <v>1068</v>
      </c>
      <c r="J54" t="s">
        <v>1092</v>
      </c>
      <c r="K54">
        <v>4</v>
      </c>
      <c r="L54" t="s">
        <v>1051</v>
      </c>
      <c r="M54">
        <v>3</v>
      </c>
    </row>
    <row r="55" spans="1:13" x14ac:dyDescent="0.25">
      <c r="A55" t="s">
        <v>178</v>
      </c>
      <c r="B55" t="s">
        <v>18</v>
      </c>
      <c r="C55">
        <v>114</v>
      </c>
      <c r="D55" t="s">
        <v>13</v>
      </c>
      <c r="E55" s="28">
        <v>44987</v>
      </c>
      <c r="F55">
        <v>23</v>
      </c>
      <c r="G55">
        <v>4.8</v>
      </c>
      <c r="H55">
        <v>2023</v>
      </c>
      <c r="I55" t="s">
        <v>1066</v>
      </c>
      <c r="J55" t="s">
        <v>1090</v>
      </c>
      <c r="K55">
        <v>5</v>
      </c>
      <c r="L55" t="s">
        <v>1051</v>
      </c>
      <c r="M55">
        <v>3</v>
      </c>
    </row>
    <row r="56" spans="1:13" x14ac:dyDescent="0.25">
      <c r="A56" t="s">
        <v>197</v>
      </c>
      <c r="B56" t="s">
        <v>18</v>
      </c>
      <c r="C56">
        <v>40</v>
      </c>
      <c r="D56" t="s">
        <v>6</v>
      </c>
      <c r="E56" s="28">
        <v>44990</v>
      </c>
      <c r="F56">
        <v>92</v>
      </c>
      <c r="G56">
        <v>4.7</v>
      </c>
      <c r="H56">
        <v>2023</v>
      </c>
      <c r="I56" t="s">
        <v>1065</v>
      </c>
      <c r="J56" t="s">
        <v>1091</v>
      </c>
      <c r="K56">
        <v>5</v>
      </c>
      <c r="L56" t="s">
        <v>1051</v>
      </c>
      <c r="M56">
        <v>3</v>
      </c>
    </row>
    <row r="57" spans="1:13" x14ac:dyDescent="0.25">
      <c r="A57" t="s">
        <v>199</v>
      </c>
      <c r="B57" t="s">
        <v>15</v>
      </c>
      <c r="C57">
        <v>131</v>
      </c>
      <c r="D57" t="s">
        <v>10</v>
      </c>
      <c r="E57" s="28">
        <v>44990</v>
      </c>
      <c r="F57">
        <v>140</v>
      </c>
      <c r="G57">
        <v>4.0999999999999996</v>
      </c>
      <c r="H57">
        <v>2023</v>
      </c>
      <c r="I57" t="s">
        <v>1065</v>
      </c>
      <c r="J57" t="s">
        <v>1092</v>
      </c>
      <c r="K57">
        <v>4</v>
      </c>
      <c r="L57" t="s">
        <v>1051</v>
      </c>
      <c r="M57">
        <v>3</v>
      </c>
    </row>
    <row r="58" spans="1:13" x14ac:dyDescent="0.25">
      <c r="A58" t="s">
        <v>201</v>
      </c>
      <c r="B58" t="s">
        <v>5</v>
      </c>
      <c r="C58">
        <v>71</v>
      </c>
      <c r="D58" t="s">
        <v>6</v>
      </c>
      <c r="E58" s="28">
        <v>44990</v>
      </c>
      <c r="F58">
        <v>102</v>
      </c>
      <c r="G58">
        <v>4.7</v>
      </c>
      <c r="H58">
        <v>2023</v>
      </c>
      <c r="I58" t="s">
        <v>1065</v>
      </c>
      <c r="J58" t="s">
        <v>1090</v>
      </c>
      <c r="K58">
        <v>5</v>
      </c>
      <c r="L58" t="s">
        <v>1051</v>
      </c>
      <c r="M58">
        <v>3</v>
      </c>
    </row>
    <row r="59" spans="1:13" x14ac:dyDescent="0.25">
      <c r="A59" t="s">
        <v>202</v>
      </c>
      <c r="B59" t="s">
        <v>15</v>
      </c>
      <c r="C59">
        <v>113</v>
      </c>
      <c r="D59" t="s">
        <v>10</v>
      </c>
      <c r="E59" s="28">
        <v>44990</v>
      </c>
      <c r="F59">
        <v>42</v>
      </c>
      <c r="G59">
        <v>4.2</v>
      </c>
      <c r="H59">
        <v>2023</v>
      </c>
      <c r="I59" t="s">
        <v>1065</v>
      </c>
      <c r="J59" t="s">
        <v>1090</v>
      </c>
      <c r="K59">
        <v>4</v>
      </c>
      <c r="L59" t="s">
        <v>1051</v>
      </c>
      <c r="M59">
        <v>3</v>
      </c>
    </row>
    <row r="60" spans="1:13" x14ac:dyDescent="0.25">
      <c r="A60" t="s">
        <v>204</v>
      </c>
      <c r="B60" t="s">
        <v>15</v>
      </c>
      <c r="C60">
        <v>153</v>
      </c>
      <c r="D60" t="s">
        <v>11</v>
      </c>
      <c r="E60" s="28">
        <v>44991</v>
      </c>
      <c r="F60">
        <v>34</v>
      </c>
      <c r="G60">
        <v>3</v>
      </c>
      <c r="H60">
        <v>2023</v>
      </c>
      <c r="I60" t="s">
        <v>1063</v>
      </c>
      <c r="J60" t="s">
        <v>1092</v>
      </c>
      <c r="K60">
        <v>3</v>
      </c>
      <c r="L60" t="s">
        <v>1051</v>
      </c>
      <c r="M60">
        <v>3</v>
      </c>
    </row>
    <row r="61" spans="1:13" x14ac:dyDescent="0.25">
      <c r="A61" t="s">
        <v>208</v>
      </c>
      <c r="B61" t="s">
        <v>15</v>
      </c>
      <c r="C61">
        <v>69</v>
      </c>
      <c r="D61" t="s">
        <v>9</v>
      </c>
      <c r="E61" s="28">
        <v>44992</v>
      </c>
      <c r="F61">
        <v>132</v>
      </c>
      <c r="G61">
        <v>4.5</v>
      </c>
      <c r="H61">
        <v>2023</v>
      </c>
      <c r="I61" t="s">
        <v>1067</v>
      </c>
      <c r="J61" t="s">
        <v>1090</v>
      </c>
      <c r="K61">
        <v>5</v>
      </c>
      <c r="L61" t="s">
        <v>1051</v>
      </c>
      <c r="M61">
        <v>3</v>
      </c>
    </row>
    <row r="62" spans="1:13" x14ac:dyDescent="0.25">
      <c r="A62" t="s">
        <v>211</v>
      </c>
      <c r="B62" t="s">
        <v>14</v>
      </c>
      <c r="C62">
        <v>92</v>
      </c>
      <c r="D62" t="s">
        <v>10</v>
      </c>
      <c r="E62" s="28">
        <v>44992</v>
      </c>
      <c r="F62">
        <v>58</v>
      </c>
      <c r="G62">
        <v>3.6</v>
      </c>
      <c r="H62">
        <v>2023</v>
      </c>
      <c r="I62" t="s">
        <v>1067</v>
      </c>
      <c r="J62" t="s">
        <v>1090</v>
      </c>
      <c r="K62">
        <v>4</v>
      </c>
      <c r="L62" t="s">
        <v>1051</v>
      </c>
      <c r="M62">
        <v>3</v>
      </c>
    </row>
    <row r="63" spans="1:13" x14ac:dyDescent="0.25">
      <c r="A63" t="s">
        <v>212</v>
      </c>
      <c r="B63" t="s">
        <v>14</v>
      </c>
      <c r="C63">
        <v>41</v>
      </c>
      <c r="D63" t="s">
        <v>13</v>
      </c>
      <c r="E63" s="28">
        <v>44992</v>
      </c>
      <c r="F63">
        <v>68</v>
      </c>
      <c r="G63">
        <v>4</v>
      </c>
      <c r="H63">
        <v>2023</v>
      </c>
      <c r="I63" t="s">
        <v>1067</v>
      </c>
      <c r="J63" t="s">
        <v>1091</v>
      </c>
      <c r="K63">
        <v>4</v>
      </c>
      <c r="L63" t="s">
        <v>1051</v>
      </c>
      <c r="M63">
        <v>3</v>
      </c>
    </row>
    <row r="64" spans="1:13" x14ac:dyDescent="0.25">
      <c r="A64" t="s">
        <v>215</v>
      </c>
      <c r="B64" t="s">
        <v>5</v>
      </c>
      <c r="C64">
        <v>103</v>
      </c>
      <c r="D64" t="s">
        <v>9</v>
      </c>
      <c r="E64" s="28">
        <v>44993</v>
      </c>
      <c r="F64">
        <v>117</v>
      </c>
      <c r="G64">
        <v>3</v>
      </c>
      <c r="H64">
        <v>2023</v>
      </c>
      <c r="I64" t="s">
        <v>1068</v>
      </c>
      <c r="J64" t="s">
        <v>1090</v>
      </c>
      <c r="K64">
        <v>3</v>
      </c>
      <c r="L64" t="s">
        <v>1051</v>
      </c>
      <c r="M64">
        <v>3</v>
      </c>
    </row>
    <row r="65" spans="1:13" x14ac:dyDescent="0.25">
      <c r="A65" t="s">
        <v>217</v>
      </c>
      <c r="B65" t="s">
        <v>5</v>
      </c>
      <c r="C65">
        <v>75</v>
      </c>
      <c r="D65" t="s">
        <v>6</v>
      </c>
      <c r="E65" s="28">
        <v>44994</v>
      </c>
      <c r="F65">
        <v>195</v>
      </c>
      <c r="G65">
        <v>3</v>
      </c>
      <c r="H65">
        <v>2023</v>
      </c>
      <c r="I65" t="s">
        <v>1066</v>
      </c>
      <c r="J65" t="s">
        <v>1090</v>
      </c>
      <c r="K65">
        <v>3</v>
      </c>
      <c r="L65" t="s">
        <v>1051</v>
      </c>
      <c r="M65">
        <v>3</v>
      </c>
    </row>
    <row r="66" spans="1:13" x14ac:dyDescent="0.25">
      <c r="A66" t="s">
        <v>218</v>
      </c>
      <c r="B66" t="s">
        <v>14</v>
      </c>
      <c r="C66">
        <v>80</v>
      </c>
      <c r="D66" t="s">
        <v>11</v>
      </c>
      <c r="E66" s="28">
        <v>44994</v>
      </c>
      <c r="F66">
        <v>168</v>
      </c>
      <c r="G66">
        <v>3.7</v>
      </c>
      <c r="H66">
        <v>2023</v>
      </c>
      <c r="I66" t="s">
        <v>1066</v>
      </c>
      <c r="J66" t="s">
        <v>1090</v>
      </c>
      <c r="K66">
        <v>4</v>
      </c>
      <c r="L66" t="s">
        <v>1051</v>
      </c>
      <c r="M66">
        <v>3</v>
      </c>
    </row>
    <row r="67" spans="1:13" x14ac:dyDescent="0.25">
      <c r="A67" t="s">
        <v>219</v>
      </c>
      <c r="B67" t="s">
        <v>15</v>
      </c>
      <c r="C67">
        <v>85</v>
      </c>
      <c r="D67" t="s">
        <v>13</v>
      </c>
      <c r="E67" s="28">
        <v>44995</v>
      </c>
      <c r="F67">
        <v>46</v>
      </c>
      <c r="G67">
        <v>4.9000000000000004</v>
      </c>
      <c r="H67">
        <v>2023</v>
      </c>
      <c r="I67" t="s">
        <v>1062</v>
      </c>
      <c r="J67" t="s">
        <v>1090</v>
      </c>
      <c r="K67">
        <v>5</v>
      </c>
      <c r="L67" t="s">
        <v>1051</v>
      </c>
      <c r="M67">
        <v>3</v>
      </c>
    </row>
    <row r="68" spans="1:13" x14ac:dyDescent="0.25">
      <c r="A68" t="s">
        <v>221</v>
      </c>
      <c r="B68" t="s">
        <v>15</v>
      </c>
      <c r="C68">
        <v>63</v>
      </c>
      <c r="D68" t="s">
        <v>13</v>
      </c>
      <c r="E68" s="28">
        <v>44995</v>
      </c>
      <c r="F68">
        <v>48</v>
      </c>
      <c r="G68">
        <v>5</v>
      </c>
      <c r="H68">
        <v>2023</v>
      </c>
      <c r="I68" t="s">
        <v>1062</v>
      </c>
      <c r="J68" t="s">
        <v>1090</v>
      </c>
      <c r="K68">
        <v>5</v>
      </c>
      <c r="L68" t="s">
        <v>1051</v>
      </c>
      <c r="M68">
        <v>3</v>
      </c>
    </row>
    <row r="69" spans="1:13" x14ac:dyDescent="0.25">
      <c r="A69" t="s">
        <v>223</v>
      </c>
      <c r="B69" t="s">
        <v>15</v>
      </c>
      <c r="C69">
        <v>71</v>
      </c>
      <c r="D69" t="s">
        <v>13</v>
      </c>
      <c r="E69" s="28">
        <v>44995</v>
      </c>
      <c r="F69">
        <v>105</v>
      </c>
      <c r="G69">
        <v>4</v>
      </c>
      <c r="H69">
        <v>2023</v>
      </c>
      <c r="I69" t="s">
        <v>1062</v>
      </c>
      <c r="J69" t="s">
        <v>1090</v>
      </c>
      <c r="K69">
        <v>4</v>
      </c>
      <c r="L69" t="s">
        <v>1051</v>
      </c>
      <c r="M69">
        <v>3</v>
      </c>
    </row>
    <row r="70" spans="1:13" x14ac:dyDescent="0.25">
      <c r="A70" t="s">
        <v>230</v>
      </c>
      <c r="B70" t="s">
        <v>14</v>
      </c>
      <c r="C70">
        <v>134</v>
      </c>
      <c r="D70" t="s">
        <v>10</v>
      </c>
      <c r="E70" s="28">
        <v>44996</v>
      </c>
      <c r="F70">
        <v>180</v>
      </c>
      <c r="G70">
        <v>3.1</v>
      </c>
      <c r="H70">
        <v>2023</v>
      </c>
      <c r="I70" t="s">
        <v>1064</v>
      </c>
      <c r="J70" t="s">
        <v>1092</v>
      </c>
      <c r="K70">
        <v>3</v>
      </c>
      <c r="L70" t="s">
        <v>1051</v>
      </c>
      <c r="M70">
        <v>3</v>
      </c>
    </row>
    <row r="71" spans="1:13" x14ac:dyDescent="0.25">
      <c r="A71" t="s">
        <v>232</v>
      </c>
      <c r="B71" t="s">
        <v>5</v>
      </c>
      <c r="C71">
        <v>6</v>
      </c>
      <c r="D71" t="s">
        <v>6</v>
      </c>
      <c r="E71" s="28">
        <v>44997</v>
      </c>
      <c r="F71">
        <v>29</v>
      </c>
      <c r="G71">
        <v>4.7</v>
      </c>
      <c r="H71">
        <v>2023</v>
      </c>
      <c r="I71" t="s">
        <v>1065</v>
      </c>
      <c r="J71" t="s">
        <v>1093</v>
      </c>
      <c r="K71">
        <v>5</v>
      </c>
      <c r="L71" t="s">
        <v>1051</v>
      </c>
      <c r="M71">
        <v>3</v>
      </c>
    </row>
    <row r="72" spans="1:13" x14ac:dyDescent="0.25">
      <c r="A72" t="s">
        <v>234</v>
      </c>
      <c r="B72" t="s">
        <v>5</v>
      </c>
      <c r="C72">
        <v>121</v>
      </c>
      <c r="D72" t="s">
        <v>13</v>
      </c>
      <c r="E72" s="28">
        <v>44998</v>
      </c>
      <c r="F72">
        <v>32</v>
      </c>
      <c r="G72">
        <v>3.7</v>
      </c>
      <c r="H72">
        <v>2023</v>
      </c>
      <c r="I72" t="s">
        <v>1063</v>
      </c>
      <c r="J72" t="s">
        <v>1092</v>
      </c>
      <c r="K72">
        <v>4</v>
      </c>
      <c r="L72" t="s">
        <v>1051</v>
      </c>
      <c r="M72">
        <v>3</v>
      </c>
    </row>
    <row r="73" spans="1:13" x14ac:dyDescent="0.25">
      <c r="A73" t="s">
        <v>236</v>
      </c>
      <c r="B73" t="s">
        <v>14</v>
      </c>
      <c r="C73">
        <v>144</v>
      </c>
      <c r="D73" t="s">
        <v>10</v>
      </c>
      <c r="E73" s="28">
        <v>44998</v>
      </c>
      <c r="F73">
        <v>140</v>
      </c>
      <c r="G73">
        <v>3.5</v>
      </c>
      <c r="H73">
        <v>2023</v>
      </c>
      <c r="I73" t="s">
        <v>1063</v>
      </c>
      <c r="J73" t="s">
        <v>1092</v>
      </c>
      <c r="K73">
        <v>4</v>
      </c>
      <c r="L73" t="s">
        <v>1051</v>
      </c>
      <c r="M73">
        <v>3</v>
      </c>
    </row>
    <row r="74" spans="1:13" x14ac:dyDescent="0.25">
      <c r="A74" t="s">
        <v>241</v>
      </c>
      <c r="B74" t="s">
        <v>14</v>
      </c>
      <c r="C74">
        <v>28</v>
      </c>
      <c r="D74" t="s">
        <v>9</v>
      </c>
      <c r="E74" s="28">
        <v>44999</v>
      </c>
      <c r="F74">
        <v>78</v>
      </c>
      <c r="G74">
        <v>3.8</v>
      </c>
      <c r="H74">
        <v>2023</v>
      </c>
      <c r="I74" t="s">
        <v>1067</v>
      </c>
      <c r="J74" t="s">
        <v>1094</v>
      </c>
      <c r="K74">
        <v>4</v>
      </c>
      <c r="L74" t="s">
        <v>1051</v>
      </c>
      <c r="M74">
        <v>3</v>
      </c>
    </row>
    <row r="75" spans="1:13" x14ac:dyDescent="0.25">
      <c r="A75" t="s">
        <v>242</v>
      </c>
      <c r="B75" t="s">
        <v>14</v>
      </c>
      <c r="C75">
        <v>119</v>
      </c>
      <c r="D75" t="s">
        <v>13</v>
      </c>
      <c r="E75" s="28">
        <v>44999</v>
      </c>
      <c r="F75">
        <v>20</v>
      </c>
      <c r="G75">
        <v>3.9</v>
      </c>
      <c r="H75">
        <v>2023</v>
      </c>
      <c r="I75" t="s">
        <v>1067</v>
      </c>
      <c r="J75" t="s">
        <v>1090</v>
      </c>
      <c r="K75">
        <v>4</v>
      </c>
      <c r="L75" t="s">
        <v>1051</v>
      </c>
      <c r="M75">
        <v>3</v>
      </c>
    </row>
    <row r="76" spans="1:13" x14ac:dyDescent="0.25">
      <c r="A76" t="s">
        <v>243</v>
      </c>
      <c r="B76" t="s">
        <v>5</v>
      </c>
      <c r="C76">
        <v>65</v>
      </c>
      <c r="D76" t="s">
        <v>6</v>
      </c>
      <c r="E76" s="28">
        <v>44999</v>
      </c>
      <c r="F76">
        <v>84</v>
      </c>
      <c r="G76">
        <v>2.5</v>
      </c>
      <c r="H76">
        <v>2023</v>
      </c>
      <c r="I76" t="s">
        <v>1067</v>
      </c>
      <c r="J76" t="s">
        <v>1090</v>
      </c>
      <c r="K76">
        <v>3</v>
      </c>
      <c r="L76" t="s">
        <v>1051</v>
      </c>
      <c r="M76">
        <v>3</v>
      </c>
    </row>
    <row r="77" spans="1:13" x14ac:dyDescent="0.25">
      <c r="A77" t="s">
        <v>248</v>
      </c>
      <c r="B77" t="s">
        <v>14</v>
      </c>
      <c r="C77">
        <v>59</v>
      </c>
      <c r="D77" t="s">
        <v>13</v>
      </c>
      <c r="E77" s="28">
        <v>45000</v>
      </c>
      <c r="F77">
        <v>64</v>
      </c>
      <c r="G77">
        <v>4</v>
      </c>
      <c r="H77">
        <v>2023</v>
      </c>
      <c r="I77" t="s">
        <v>1068</v>
      </c>
      <c r="J77" t="s">
        <v>1091</v>
      </c>
      <c r="K77">
        <v>4</v>
      </c>
      <c r="L77" t="s">
        <v>1051</v>
      </c>
      <c r="M77">
        <v>3</v>
      </c>
    </row>
    <row r="78" spans="1:13" x14ac:dyDescent="0.25">
      <c r="A78" t="s">
        <v>260</v>
      </c>
      <c r="B78" t="s">
        <v>15</v>
      </c>
      <c r="C78">
        <v>100</v>
      </c>
      <c r="D78" t="s">
        <v>9</v>
      </c>
      <c r="E78" s="28">
        <v>45001</v>
      </c>
      <c r="F78">
        <v>124</v>
      </c>
      <c r="G78">
        <v>3.4</v>
      </c>
      <c r="H78">
        <v>2023</v>
      </c>
      <c r="I78" t="s">
        <v>1066</v>
      </c>
      <c r="J78" t="s">
        <v>1090</v>
      </c>
      <c r="K78">
        <v>3</v>
      </c>
      <c r="L78" t="s">
        <v>1051</v>
      </c>
      <c r="M78">
        <v>3</v>
      </c>
    </row>
    <row r="79" spans="1:13" x14ac:dyDescent="0.25">
      <c r="A79" t="s">
        <v>263</v>
      </c>
      <c r="B79" t="s">
        <v>18</v>
      </c>
      <c r="C79">
        <v>64</v>
      </c>
      <c r="D79" t="s">
        <v>10</v>
      </c>
      <c r="E79" s="28">
        <v>45002</v>
      </c>
      <c r="F79">
        <v>22</v>
      </c>
      <c r="G79">
        <v>4.0999999999999996</v>
      </c>
      <c r="H79">
        <v>2023</v>
      </c>
      <c r="I79" t="s">
        <v>1062</v>
      </c>
      <c r="J79" t="s">
        <v>1090</v>
      </c>
      <c r="K79">
        <v>4</v>
      </c>
      <c r="L79" t="s">
        <v>1051</v>
      </c>
      <c r="M79">
        <v>3</v>
      </c>
    </row>
    <row r="80" spans="1:13" x14ac:dyDescent="0.25">
      <c r="A80" t="s">
        <v>265</v>
      </c>
      <c r="B80" t="s">
        <v>19</v>
      </c>
      <c r="C80">
        <v>40</v>
      </c>
      <c r="D80" t="s">
        <v>9</v>
      </c>
      <c r="E80" s="28">
        <v>45003</v>
      </c>
      <c r="F80">
        <v>24</v>
      </c>
      <c r="G80">
        <v>4.3</v>
      </c>
      <c r="H80">
        <v>2023</v>
      </c>
      <c r="I80" t="s">
        <v>1064</v>
      </c>
      <c r="J80" t="s">
        <v>1091</v>
      </c>
      <c r="K80">
        <v>4</v>
      </c>
      <c r="L80" t="s">
        <v>1051</v>
      </c>
      <c r="M80">
        <v>3</v>
      </c>
    </row>
    <row r="81" spans="1:13" x14ac:dyDescent="0.25">
      <c r="A81" t="s">
        <v>266</v>
      </c>
      <c r="B81" t="s">
        <v>14</v>
      </c>
      <c r="C81">
        <v>75</v>
      </c>
      <c r="D81" t="s">
        <v>6</v>
      </c>
      <c r="E81" s="28">
        <v>45003</v>
      </c>
      <c r="F81">
        <v>32</v>
      </c>
      <c r="G81">
        <v>4.0999999999999996</v>
      </c>
      <c r="H81">
        <v>2023</v>
      </c>
      <c r="I81" t="s">
        <v>1064</v>
      </c>
      <c r="J81" t="s">
        <v>1090</v>
      </c>
      <c r="K81">
        <v>4</v>
      </c>
      <c r="L81" t="s">
        <v>1051</v>
      </c>
      <c r="M81">
        <v>3</v>
      </c>
    </row>
    <row r="82" spans="1:13" x14ac:dyDescent="0.25">
      <c r="A82" t="s">
        <v>268</v>
      </c>
      <c r="B82" t="s">
        <v>18</v>
      </c>
      <c r="C82">
        <v>58</v>
      </c>
      <c r="D82" t="s">
        <v>9</v>
      </c>
      <c r="E82" s="28">
        <v>45004</v>
      </c>
      <c r="F82">
        <v>43</v>
      </c>
      <c r="G82">
        <v>4.5</v>
      </c>
      <c r="H82">
        <v>2023</v>
      </c>
      <c r="I82" t="s">
        <v>1065</v>
      </c>
      <c r="J82" t="s">
        <v>1091</v>
      </c>
      <c r="K82">
        <v>5</v>
      </c>
      <c r="L82" t="s">
        <v>1051</v>
      </c>
      <c r="M82">
        <v>3</v>
      </c>
    </row>
    <row r="83" spans="1:13" x14ac:dyDescent="0.25">
      <c r="A83" t="s">
        <v>271</v>
      </c>
      <c r="B83" t="s">
        <v>18</v>
      </c>
      <c r="C83">
        <v>67</v>
      </c>
      <c r="D83" t="s">
        <v>11</v>
      </c>
      <c r="E83" s="28">
        <v>45004</v>
      </c>
      <c r="F83">
        <v>45</v>
      </c>
      <c r="G83">
        <v>3.5</v>
      </c>
      <c r="H83">
        <v>2023</v>
      </c>
      <c r="I83" t="s">
        <v>1065</v>
      </c>
      <c r="J83" t="s">
        <v>1090</v>
      </c>
      <c r="K83">
        <v>4</v>
      </c>
      <c r="L83" t="s">
        <v>1051</v>
      </c>
      <c r="M83">
        <v>3</v>
      </c>
    </row>
    <row r="84" spans="1:13" x14ac:dyDescent="0.25">
      <c r="A84" t="s">
        <v>281</v>
      </c>
      <c r="B84" t="s">
        <v>15</v>
      </c>
      <c r="C84">
        <v>59</v>
      </c>
      <c r="D84" t="s">
        <v>11</v>
      </c>
      <c r="E84" s="28">
        <v>45006</v>
      </c>
      <c r="F84">
        <v>215</v>
      </c>
      <c r="G84">
        <v>4.0999999999999996</v>
      </c>
      <c r="H84">
        <v>2023</v>
      </c>
      <c r="I84" t="s">
        <v>1067</v>
      </c>
      <c r="J84" t="s">
        <v>1091</v>
      </c>
      <c r="K84">
        <v>4</v>
      </c>
      <c r="L84" t="s">
        <v>1051</v>
      </c>
      <c r="M84">
        <v>3</v>
      </c>
    </row>
    <row r="85" spans="1:13" x14ac:dyDescent="0.25">
      <c r="A85" t="s">
        <v>282</v>
      </c>
      <c r="B85" t="s">
        <v>15</v>
      </c>
      <c r="C85">
        <v>144</v>
      </c>
      <c r="D85" t="s">
        <v>9</v>
      </c>
      <c r="E85" s="28">
        <v>45006</v>
      </c>
      <c r="F85">
        <v>124</v>
      </c>
      <c r="G85">
        <v>4.4000000000000004</v>
      </c>
      <c r="H85">
        <v>2023</v>
      </c>
      <c r="I85" t="s">
        <v>1067</v>
      </c>
      <c r="J85" t="s">
        <v>1092</v>
      </c>
      <c r="K85">
        <v>4</v>
      </c>
      <c r="L85" t="s">
        <v>1051</v>
      </c>
      <c r="M85">
        <v>3</v>
      </c>
    </row>
    <row r="86" spans="1:13" x14ac:dyDescent="0.25">
      <c r="A86" t="s">
        <v>288</v>
      </c>
      <c r="B86" t="s">
        <v>5</v>
      </c>
      <c r="C86">
        <v>129</v>
      </c>
      <c r="D86" t="s">
        <v>6</v>
      </c>
      <c r="E86" s="28">
        <v>45007</v>
      </c>
      <c r="F86">
        <v>120</v>
      </c>
      <c r="G86">
        <v>4.0999999999999996</v>
      </c>
      <c r="H86">
        <v>2023</v>
      </c>
      <c r="I86" t="s">
        <v>1068</v>
      </c>
      <c r="J86" t="s">
        <v>1092</v>
      </c>
      <c r="K86">
        <v>4</v>
      </c>
      <c r="L86" t="s">
        <v>1051</v>
      </c>
      <c r="M86">
        <v>3</v>
      </c>
    </row>
    <row r="87" spans="1:13" x14ac:dyDescent="0.25">
      <c r="A87" t="s">
        <v>290</v>
      </c>
      <c r="B87" t="s">
        <v>19</v>
      </c>
      <c r="C87">
        <v>154</v>
      </c>
      <c r="D87" t="s">
        <v>9</v>
      </c>
      <c r="E87" s="28">
        <v>45007</v>
      </c>
      <c r="F87">
        <v>172</v>
      </c>
      <c r="G87">
        <v>3.1</v>
      </c>
      <c r="H87">
        <v>2023</v>
      </c>
      <c r="I87" t="s">
        <v>1068</v>
      </c>
      <c r="J87" t="s">
        <v>1092</v>
      </c>
      <c r="K87">
        <v>3</v>
      </c>
      <c r="L87" t="s">
        <v>1051</v>
      </c>
      <c r="M87">
        <v>3</v>
      </c>
    </row>
    <row r="88" spans="1:13" x14ac:dyDescent="0.25">
      <c r="A88" t="s">
        <v>291</v>
      </c>
      <c r="B88" t="s">
        <v>18</v>
      </c>
      <c r="C88">
        <v>131</v>
      </c>
      <c r="D88" t="s">
        <v>9</v>
      </c>
      <c r="E88" s="28">
        <v>45007</v>
      </c>
      <c r="F88">
        <v>58</v>
      </c>
      <c r="G88">
        <v>4.9000000000000004</v>
      </c>
      <c r="H88">
        <v>2023</v>
      </c>
      <c r="I88" t="s">
        <v>1068</v>
      </c>
      <c r="J88" t="s">
        <v>1092</v>
      </c>
      <c r="K88">
        <v>5</v>
      </c>
      <c r="L88" t="s">
        <v>1051</v>
      </c>
      <c r="M88">
        <v>3</v>
      </c>
    </row>
    <row r="89" spans="1:13" x14ac:dyDescent="0.25">
      <c r="A89" t="s">
        <v>292</v>
      </c>
      <c r="B89" t="s">
        <v>15</v>
      </c>
      <c r="C89">
        <v>111</v>
      </c>
      <c r="D89" t="s">
        <v>13</v>
      </c>
      <c r="E89" s="28">
        <v>45008</v>
      </c>
      <c r="F89">
        <v>86</v>
      </c>
      <c r="G89">
        <v>4.0999999999999996</v>
      </c>
      <c r="H89">
        <v>2023</v>
      </c>
      <c r="I89" t="s">
        <v>1066</v>
      </c>
      <c r="J89" t="s">
        <v>1090</v>
      </c>
      <c r="K89">
        <v>4</v>
      </c>
      <c r="L89" t="s">
        <v>1051</v>
      </c>
      <c r="M89">
        <v>3</v>
      </c>
    </row>
    <row r="90" spans="1:13" x14ac:dyDescent="0.25">
      <c r="A90" t="s">
        <v>296</v>
      </c>
      <c r="B90" t="s">
        <v>5</v>
      </c>
      <c r="C90">
        <v>76</v>
      </c>
      <c r="D90" t="s">
        <v>9</v>
      </c>
      <c r="E90" s="28">
        <v>45010</v>
      </c>
      <c r="F90">
        <v>110</v>
      </c>
      <c r="G90">
        <v>4.4000000000000004</v>
      </c>
      <c r="H90">
        <v>2023</v>
      </c>
      <c r="I90" t="s">
        <v>1064</v>
      </c>
      <c r="J90" t="s">
        <v>1090</v>
      </c>
      <c r="K90">
        <v>4</v>
      </c>
      <c r="L90" t="s">
        <v>1051</v>
      </c>
      <c r="M90">
        <v>3</v>
      </c>
    </row>
    <row r="91" spans="1:13" x14ac:dyDescent="0.25">
      <c r="A91" t="s">
        <v>304</v>
      </c>
      <c r="B91" t="s">
        <v>14</v>
      </c>
      <c r="C91">
        <v>118</v>
      </c>
      <c r="D91" t="s">
        <v>13</v>
      </c>
      <c r="E91" s="28">
        <v>45011</v>
      </c>
      <c r="F91">
        <v>99</v>
      </c>
      <c r="G91">
        <v>5</v>
      </c>
      <c r="H91">
        <v>2023</v>
      </c>
      <c r="I91" t="s">
        <v>1065</v>
      </c>
      <c r="J91" t="s">
        <v>1090</v>
      </c>
      <c r="K91">
        <v>5</v>
      </c>
      <c r="L91" t="s">
        <v>1051</v>
      </c>
      <c r="M91">
        <v>3</v>
      </c>
    </row>
    <row r="92" spans="1:13" x14ac:dyDescent="0.25">
      <c r="A92" t="s">
        <v>305</v>
      </c>
      <c r="B92" t="s">
        <v>19</v>
      </c>
      <c r="C92">
        <v>75</v>
      </c>
      <c r="D92" t="s">
        <v>9</v>
      </c>
      <c r="E92" s="28">
        <v>45011</v>
      </c>
      <c r="F92">
        <v>135</v>
      </c>
      <c r="G92">
        <v>4.7</v>
      </c>
      <c r="H92">
        <v>2023</v>
      </c>
      <c r="I92" t="s">
        <v>1065</v>
      </c>
      <c r="J92" t="s">
        <v>1090</v>
      </c>
      <c r="K92">
        <v>5</v>
      </c>
      <c r="L92" t="s">
        <v>1051</v>
      </c>
      <c r="M92">
        <v>3</v>
      </c>
    </row>
    <row r="93" spans="1:13" x14ac:dyDescent="0.25">
      <c r="A93" t="s">
        <v>308</v>
      </c>
      <c r="B93" t="s">
        <v>15</v>
      </c>
      <c r="C93">
        <v>61</v>
      </c>
      <c r="D93" t="s">
        <v>11</v>
      </c>
      <c r="E93" s="28">
        <v>45012</v>
      </c>
      <c r="F93">
        <v>140</v>
      </c>
      <c r="G93">
        <v>1.8</v>
      </c>
      <c r="H93">
        <v>2023</v>
      </c>
      <c r="I93" t="s">
        <v>1063</v>
      </c>
      <c r="J93" t="s">
        <v>1090</v>
      </c>
      <c r="K93">
        <v>2</v>
      </c>
      <c r="L93" t="s">
        <v>1051</v>
      </c>
      <c r="M93">
        <v>3</v>
      </c>
    </row>
    <row r="94" spans="1:13" x14ac:dyDescent="0.25">
      <c r="A94" t="s">
        <v>312</v>
      </c>
      <c r="B94" t="s">
        <v>19</v>
      </c>
      <c r="C94">
        <v>39</v>
      </c>
      <c r="D94" t="s">
        <v>11</v>
      </c>
      <c r="E94" s="28">
        <v>45013</v>
      </c>
      <c r="F94">
        <v>81</v>
      </c>
      <c r="G94">
        <v>5</v>
      </c>
      <c r="H94">
        <v>2023</v>
      </c>
      <c r="I94" t="s">
        <v>1067</v>
      </c>
      <c r="J94" t="s">
        <v>1091</v>
      </c>
      <c r="K94">
        <v>5</v>
      </c>
      <c r="L94" t="s">
        <v>1051</v>
      </c>
      <c r="M94">
        <v>3</v>
      </c>
    </row>
    <row r="95" spans="1:13" x14ac:dyDescent="0.25">
      <c r="A95" t="s">
        <v>314</v>
      </c>
      <c r="B95" t="s">
        <v>15</v>
      </c>
      <c r="C95">
        <v>78</v>
      </c>
      <c r="D95" t="s">
        <v>9</v>
      </c>
      <c r="E95" s="28">
        <v>45013</v>
      </c>
      <c r="F95">
        <v>43</v>
      </c>
      <c r="G95">
        <v>3.8</v>
      </c>
      <c r="H95">
        <v>2023</v>
      </c>
      <c r="I95" t="s">
        <v>1067</v>
      </c>
      <c r="J95" t="s">
        <v>1090</v>
      </c>
      <c r="K95">
        <v>4</v>
      </c>
      <c r="L95" t="s">
        <v>1051</v>
      </c>
      <c r="M95">
        <v>3</v>
      </c>
    </row>
    <row r="96" spans="1:13" x14ac:dyDescent="0.25">
      <c r="A96" t="s">
        <v>315</v>
      </c>
      <c r="B96" t="s">
        <v>14</v>
      </c>
      <c r="C96">
        <v>40</v>
      </c>
      <c r="D96" t="s">
        <v>9</v>
      </c>
      <c r="E96" s="28">
        <v>45013</v>
      </c>
      <c r="F96">
        <v>34</v>
      </c>
      <c r="G96">
        <v>4.5999999999999996</v>
      </c>
      <c r="H96">
        <v>2023</v>
      </c>
      <c r="I96" t="s">
        <v>1067</v>
      </c>
      <c r="J96" t="s">
        <v>1091</v>
      </c>
      <c r="K96">
        <v>5</v>
      </c>
      <c r="L96" t="s">
        <v>1051</v>
      </c>
      <c r="M96">
        <v>3</v>
      </c>
    </row>
    <row r="97" spans="1:13" x14ac:dyDescent="0.25">
      <c r="A97" t="s">
        <v>316</v>
      </c>
      <c r="B97" t="s">
        <v>15</v>
      </c>
      <c r="C97">
        <v>56</v>
      </c>
      <c r="D97" t="s">
        <v>11</v>
      </c>
      <c r="E97" s="28">
        <v>45013</v>
      </c>
      <c r="F97">
        <v>225</v>
      </c>
      <c r="G97">
        <v>4.5999999999999996</v>
      </c>
      <c r="H97">
        <v>2023</v>
      </c>
      <c r="I97" t="s">
        <v>1067</v>
      </c>
      <c r="J97" t="s">
        <v>1091</v>
      </c>
      <c r="K97">
        <v>5</v>
      </c>
      <c r="L97" t="s">
        <v>1051</v>
      </c>
      <c r="M97">
        <v>3</v>
      </c>
    </row>
    <row r="98" spans="1:13" x14ac:dyDescent="0.25">
      <c r="A98" t="s">
        <v>317</v>
      </c>
      <c r="B98" t="s">
        <v>19</v>
      </c>
      <c r="C98">
        <v>59</v>
      </c>
      <c r="D98" t="s">
        <v>6</v>
      </c>
      <c r="E98" s="28">
        <v>45013</v>
      </c>
      <c r="F98">
        <v>210</v>
      </c>
      <c r="G98">
        <v>4.5</v>
      </c>
      <c r="H98">
        <v>2023</v>
      </c>
      <c r="I98" t="s">
        <v>1067</v>
      </c>
      <c r="J98" t="s">
        <v>1091</v>
      </c>
      <c r="K98">
        <v>5</v>
      </c>
      <c r="L98" t="s">
        <v>1051</v>
      </c>
      <c r="M98">
        <v>3</v>
      </c>
    </row>
    <row r="99" spans="1:13" x14ac:dyDescent="0.25">
      <c r="A99" t="s">
        <v>319</v>
      </c>
      <c r="B99" t="s">
        <v>14</v>
      </c>
      <c r="C99">
        <v>63</v>
      </c>
      <c r="D99" t="s">
        <v>10</v>
      </c>
      <c r="E99" s="28">
        <v>45014</v>
      </c>
      <c r="F99">
        <v>82</v>
      </c>
      <c r="G99">
        <v>4.5</v>
      </c>
      <c r="H99">
        <v>2023</v>
      </c>
      <c r="I99" t="s">
        <v>1068</v>
      </c>
      <c r="J99" t="s">
        <v>1090</v>
      </c>
      <c r="K99">
        <v>5</v>
      </c>
      <c r="L99" t="s">
        <v>1051</v>
      </c>
      <c r="M99">
        <v>3</v>
      </c>
    </row>
    <row r="100" spans="1:13" x14ac:dyDescent="0.25">
      <c r="A100" t="s">
        <v>321</v>
      </c>
      <c r="B100" t="s">
        <v>5</v>
      </c>
      <c r="C100">
        <v>95</v>
      </c>
      <c r="D100" t="s">
        <v>10</v>
      </c>
      <c r="E100" s="28">
        <v>45014</v>
      </c>
      <c r="F100">
        <v>111</v>
      </c>
      <c r="G100">
        <v>3.3</v>
      </c>
      <c r="H100">
        <v>2023</v>
      </c>
      <c r="I100" t="s">
        <v>1068</v>
      </c>
      <c r="J100" t="s">
        <v>1090</v>
      </c>
      <c r="K100">
        <v>3</v>
      </c>
      <c r="L100" t="s">
        <v>1051</v>
      </c>
      <c r="M100">
        <v>3</v>
      </c>
    </row>
    <row r="101" spans="1:13" x14ac:dyDescent="0.25">
      <c r="A101" t="s">
        <v>328</v>
      </c>
      <c r="B101" t="s">
        <v>18</v>
      </c>
      <c r="C101">
        <v>99</v>
      </c>
      <c r="D101" t="s">
        <v>9</v>
      </c>
      <c r="E101" s="28">
        <v>45017</v>
      </c>
      <c r="F101">
        <v>74</v>
      </c>
      <c r="G101">
        <v>4</v>
      </c>
      <c r="H101">
        <v>2023</v>
      </c>
      <c r="I101" t="s">
        <v>1064</v>
      </c>
      <c r="J101" t="s">
        <v>1090</v>
      </c>
      <c r="K101">
        <v>4</v>
      </c>
      <c r="L101" t="s">
        <v>1052</v>
      </c>
      <c r="M101">
        <v>4</v>
      </c>
    </row>
    <row r="102" spans="1:13" x14ac:dyDescent="0.25">
      <c r="A102" t="s">
        <v>330</v>
      </c>
      <c r="B102" t="s">
        <v>14</v>
      </c>
      <c r="C102">
        <v>65</v>
      </c>
      <c r="D102" t="s">
        <v>9</v>
      </c>
      <c r="E102" s="28">
        <v>45017</v>
      </c>
      <c r="F102">
        <v>64</v>
      </c>
      <c r="G102">
        <v>3.7</v>
      </c>
      <c r="H102">
        <v>2023</v>
      </c>
      <c r="I102" t="s">
        <v>1064</v>
      </c>
      <c r="J102" t="s">
        <v>1090</v>
      </c>
      <c r="K102">
        <v>4</v>
      </c>
      <c r="L102" t="s">
        <v>1052</v>
      </c>
      <c r="M102">
        <v>4</v>
      </c>
    </row>
    <row r="103" spans="1:13" x14ac:dyDescent="0.25">
      <c r="A103" t="s">
        <v>336</v>
      </c>
      <c r="B103" t="s">
        <v>18</v>
      </c>
      <c r="C103">
        <v>111</v>
      </c>
      <c r="D103" t="s">
        <v>9</v>
      </c>
      <c r="E103" s="28">
        <v>45020</v>
      </c>
      <c r="F103">
        <v>175</v>
      </c>
      <c r="G103">
        <v>3.5</v>
      </c>
      <c r="H103">
        <v>2023</v>
      </c>
      <c r="I103" t="s">
        <v>1067</v>
      </c>
      <c r="J103" t="s">
        <v>1090</v>
      </c>
      <c r="K103">
        <v>4</v>
      </c>
      <c r="L103" t="s">
        <v>1052</v>
      </c>
      <c r="M103">
        <v>4</v>
      </c>
    </row>
    <row r="104" spans="1:13" x14ac:dyDescent="0.25">
      <c r="A104" t="s">
        <v>339</v>
      </c>
      <c r="B104" t="s">
        <v>15</v>
      </c>
      <c r="C104">
        <v>38</v>
      </c>
      <c r="D104" t="s">
        <v>9</v>
      </c>
      <c r="E104" s="28">
        <v>45021</v>
      </c>
      <c r="F104">
        <v>81</v>
      </c>
      <c r="G104">
        <v>3.6</v>
      </c>
      <c r="H104">
        <v>2023</v>
      </c>
      <c r="I104" t="s">
        <v>1068</v>
      </c>
      <c r="J104" t="s">
        <v>1091</v>
      </c>
      <c r="K104">
        <v>4</v>
      </c>
      <c r="L104" t="s">
        <v>1052</v>
      </c>
      <c r="M104">
        <v>4</v>
      </c>
    </row>
    <row r="105" spans="1:13" x14ac:dyDescent="0.25">
      <c r="A105" t="s">
        <v>340</v>
      </c>
      <c r="B105" t="s">
        <v>19</v>
      </c>
      <c r="C105">
        <v>130</v>
      </c>
      <c r="D105" t="s">
        <v>6</v>
      </c>
      <c r="E105" s="28">
        <v>45021</v>
      </c>
      <c r="F105">
        <v>54</v>
      </c>
      <c r="G105">
        <v>4.0999999999999996</v>
      </c>
      <c r="H105">
        <v>2023</v>
      </c>
      <c r="I105" t="s">
        <v>1068</v>
      </c>
      <c r="J105" t="s">
        <v>1092</v>
      </c>
      <c r="K105">
        <v>4</v>
      </c>
      <c r="L105" t="s">
        <v>1052</v>
      </c>
      <c r="M105">
        <v>4</v>
      </c>
    </row>
    <row r="106" spans="1:13" x14ac:dyDescent="0.25">
      <c r="A106" t="s">
        <v>341</v>
      </c>
      <c r="B106" t="s">
        <v>14</v>
      </c>
      <c r="C106">
        <v>23</v>
      </c>
      <c r="D106" t="s">
        <v>11</v>
      </c>
      <c r="E106" s="28">
        <v>45021</v>
      </c>
      <c r="F106">
        <v>105</v>
      </c>
      <c r="G106">
        <v>4.8</v>
      </c>
      <c r="H106">
        <v>2023</v>
      </c>
      <c r="I106" t="s">
        <v>1068</v>
      </c>
      <c r="J106" t="s">
        <v>1094</v>
      </c>
      <c r="K106">
        <v>5</v>
      </c>
      <c r="L106" t="s">
        <v>1052</v>
      </c>
      <c r="M106">
        <v>4</v>
      </c>
    </row>
    <row r="107" spans="1:13" x14ac:dyDescent="0.25">
      <c r="A107" t="s">
        <v>342</v>
      </c>
      <c r="B107" t="s">
        <v>19</v>
      </c>
      <c r="C107">
        <v>124</v>
      </c>
      <c r="D107" t="s">
        <v>9</v>
      </c>
      <c r="E107" s="28">
        <v>45022</v>
      </c>
      <c r="F107">
        <v>176</v>
      </c>
      <c r="G107">
        <v>3.9</v>
      </c>
      <c r="H107">
        <v>2023</v>
      </c>
      <c r="I107" t="s">
        <v>1066</v>
      </c>
      <c r="J107" t="s">
        <v>1092</v>
      </c>
      <c r="K107">
        <v>4</v>
      </c>
      <c r="L107" t="s">
        <v>1052</v>
      </c>
      <c r="M107">
        <v>4</v>
      </c>
    </row>
    <row r="108" spans="1:13" x14ac:dyDescent="0.25">
      <c r="A108" t="s">
        <v>349</v>
      </c>
      <c r="B108" t="s">
        <v>15</v>
      </c>
      <c r="C108">
        <v>36</v>
      </c>
      <c r="D108" t="s">
        <v>9</v>
      </c>
      <c r="E108" s="28">
        <v>45023</v>
      </c>
      <c r="F108">
        <v>135</v>
      </c>
      <c r="G108">
        <v>4.5999999999999996</v>
      </c>
      <c r="H108">
        <v>2023</v>
      </c>
      <c r="I108" t="s">
        <v>1062</v>
      </c>
      <c r="J108" t="s">
        <v>1091</v>
      </c>
      <c r="K108">
        <v>5</v>
      </c>
      <c r="L108" t="s">
        <v>1052</v>
      </c>
      <c r="M108">
        <v>4</v>
      </c>
    </row>
    <row r="109" spans="1:13" x14ac:dyDescent="0.25">
      <c r="A109" t="s">
        <v>350</v>
      </c>
      <c r="B109" t="s">
        <v>19</v>
      </c>
      <c r="C109">
        <v>74</v>
      </c>
      <c r="D109" t="s">
        <v>9</v>
      </c>
      <c r="E109" s="28">
        <v>45023</v>
      </c>
      <c r="F109">
        <v>30</v>
      </c>
      <c r="G109">
        <v>4</v>
      </c>
      <c r="H109">
        <v>2023</v>
      </c>
      <c r="I109" t="s">
        <v>1062</v>
      </c>
      <c r="J109" t="s">
        <v>1090</v>
      </c>
      <c r="K109">
        <v>4</v>
      </c>
      <c r="L109" t="s">
        <v>1052</v>
      </c>
      <c r="M109">
        <v>4</v>
      </c>
    </row>
    <row r="110" spans="1:13" x14ac:dyDescent="0.25">
      <c r="A110" t="s">
        <v>352</v>
      </c>
      <c r="B110" t="s">
        <v>5</v>
      </c>
      <c r="C110">
        <v>70</v>
      </c>
      <c r="D110" t="s">
        <v>13</v>
      </c>
      <c r="E110" s="28">
        <v>45023</v>
      </c>
      <c r="F110">
        <v>42</v>
      </c>
      <c r="G110">
        <v>4.4000000000000004</v>
      </c>
      <c r="H110">
        <v>2023</v>
      </c>
      <c r="I110" t="s">
        <v>1062</v>
      </c>
      <c r="J110" t="s">
        <v>1090</v>
      </c>
      <c r="K110">
        <v>4</v>
      </c>
      <c r="L110" t="s">
        <v>1052</v>
      </c>
      <c r="M110">
        <v>4</v>
      </c>
    </row>
    <row r="111" spans="1:13" x14ac:dyDescent="0.25">
      <c r="A111" t="s">
        <v>354</v>
      </c>
      <c r="B111" t="s">
        <v>18</v>
      </c>
      <c r="C111">
        <v>104</v>
      </c>
      <c r="D111" t="s">
        <v>11</v>
      </c>
      <c r="E111" s="28">
        <v>45023</v>
      </c>
      <c r="F111">
        <v>164</v>
      </c>
      <c r="G111">
        <v>4</v>
      </c>
      <c r="H111">
        <v>2023</v>
      </c>
      <c r="I111" t="s">
        <v>1062</v>
      </c>
      <c r="J111" t="s">
        <v>1090</v>
      </c>
      <c r="K111">
        <v>4</v>
      </c>
      <c r="L111" t="s">
        <v>1052</v>
      </c>
      <c r="M111">
        <v>4</v>
      </c>
    </row>
    <row r="112" spans="1:13" x14ac:dyDescent="0.25">
      <c r="A112" t="s">
        <v>362</v>
      </c>
      <c r="B112" t="s">
        <v>19</v>
      </c>
      <c r="C112">
        <v>23</v>
      </c>
      <c r="D112" t="s">
        <v>9</v>
      </c>
      <c r="E112" s="28">
        <v>45025</v>
      </c>
      <c r="F112">
        <v>86</v>
      </c>
      <c r="G112">
        <v>2.2000000000000002</v>
      </c>
      <c r="H112">
        <v>2023</v>
      </c>
      <c r="I112" t="s">
        <v>1065</v>
      </c>
      <c r="J112" t="s">
        <v>1094</v>
      </c>
      <c r="K112">
        <v>2</v>
      </c>
      <c r="L112" t="s">
        <v>1052</v>
      </c>
      <c r="M112">
        <v>4</v>
      </c>
    </row>
    <row r="113" spans="1:13" x14ac:dyDescent="0.25">
      <c r="A113" t="s">
        <v>367</v>
      </c>
      <c r="B113" t="s">
        <v>18</v>
      </c>
      <c r="C113">
        <v>104</v>
      </c>
      <c r="D113" t="s">
        <v>13</v>
      </c>
      <c r="E113" s="28">
        <v>45026</v>
      </c>
      <c r="F113">
        <v>68</v>
      </c>
      <c r="G113">
        <v>3.6</v>
      </c>
      <c r="H113">
        <v>2023</v>
      </c>
      <c r="I113" t="s">
        <v>1063</v>
      </c>
      <c r="J113" t="s">
        <v>1090</v>
      </c>
      <c r="K113">
        <v>4</v>
      </c>
      <c r="L113" t="s">
        <v>1052</v>
      </c>
      <c r="M113">
        <v>4</v>
      </c>
    </row>
    <row r="114" spans="1:13" x14ac:dyDescent="0.25">
      <c r="A114" t="s">
        <v>369</v>
      </c>
      <c r="B114" t="s">
        <v>19</v>
      </c>
      <c r="C114">
        <v>99</v>
      </c>
      <c r="D114" t="s">
        <v>13</v>
      </c>
      <c r="E114" s="28">
        <v>45026</v>
      </c>
      <c r="F114">
        <v>42</v>
      </c>
      <c r="G114">
        <v>3.1</v>
      </c>
      <c r="H114">
        <v>2023</v>
      </c>
      <c r="I114" t="s">
        <v>1063</v>
      </c>
      <c r="J114" t="s">
        <v>1090</v>
      </c>
      <c r="K114">
        <v>3</v>
      </c>
      <c r="L114" t="s">
        <v>1052</v>
      </c>
      <c r="M114">
        <v>4</v>
      </c>
    </row>
    <row r="115" spans="1:13" x14ac:dyDescent="0.25">
      <c r="A115" t="s">
        <v>370</v>
      </c>
      <c r="B115" t="s">
        <v>18</v>
      </c>
      <c r="C115">
        <v>84</v>
      </c>
      <c r="D115" t="s">
        <v>13</v>
      </c>
      <c r="E115" s="28">
        <v>45027</v>
      </c>
      <c r="F115">
        <v>38</v>
      </c>
      <c r="G115">
        <v>3.3</v>
      </c>
      <c r="H115">
        <v>2023</v>
      </c>
      <c r="I115" t="s">
        <v>1067</v>
      </c>
      <c r="J115" t="s">
        <v>1090</v>
      </c>
      <c r="K115">
        <v>3</v>
      </c>
      <c r="L115" t="s">
        <v>1052</v>
      </c>
      <c r="M115">
        <v>4</v>
      </c>
    </row>
    <row r="116" spans="1:13" x14ac:dyDescent="0.25">
      <c r="A116" t="s">
        <v>372</v>
      </c>
      <c r="B116" t="s">
        <v>15</v>
      </c>
      <c r="C116">
        <v>25</v>
      </c>
      <c r="D116" t="s">
        <v>10</v>
      </c>
      <c r="E116" s="28">
        <v>45027</v>
      </c>
      <c r="F116">
        <v>75</v>
      </c>
      <c r="G116">
        <v>3.9</v>
      </c>
      <c r="H116">
        <v>2023</v>
      </c>
      <c r="I116" t="s">
        <v>1067</v>
      </c>
      <c r="J116" t="s">
        <v>1094</v>
      </c>
      <c r="K116">
        <v>4</v>
      </c>
      <c r="L116" t="s">
        <v>1052</v>
      </c>
      <c r="M116">
        <v>4</v>
      </c>
    </row>
    <row r="117" spans="1:13" x14ac:dyDescent="0.25">
      <c r="A117" t="s">
        <v>376</v>
      </c>
      <c r="B117" t="s">
        <v>19</v>
      </c>
      <c r="C117">
        <v>50</v>
      </c>
      <c r="D117" t="s">
        <v>9</v>
      </c>
      <c r="E117" s="28">
        <v>45029</v>
      </c>
      <c r="F117">
        <v>105</v>
      </c>
      <c r="G117">
        <v>3.5</v>
      </c>
      <c r="H117">
        <v>2023</v>
      </c>
      <c r="I117" t="s">
        <v>1066</v>
      </c>
      <c r="J117" t="s">
        <v>1091</v>
      </c>
      <c r="K117">
        <v>4</v>
      </c>
      <c r="L117" t="s">
        <v>1052</v>
      </c>
      <c r="M117">
        <v>4</v>
      </c>
    </row>
    <row r="118" spans="1:13" x14ac:dyDescent="0.25">
      <c r="A118" t="s">
        <v>378</v>
      </c>
      <c r="B118" t="s">
        <v>14</v>
      </c>
      <c r="C118">
        <v>114</v>
      </c>
      <c r="D118" t="s">
        <v>13</v>
      </c>
      <c r="E118" s="28">
        <v>45030</v>
      </c>
      <c r="F118">
        <v>126</v>
      </c>
      <c r="G118">
        <v>4.4000000000000004</v>
      </c>
      <c r="H118">
        <v>2023</v>
      </c>
      <c r="I118" t="s">
        <v>1062</v>
      </c>
      <c r="J118" t="s">
        <v>1090</v>
      </c>
      <c r="K118">
        <v>4</v>
      </c>
      <c r="L118" t="s">
        <v>1052</v>
      </c>
      <c r="M118">
        <v>4</v>
      </c>
    </row>
    <row r="119" spans="1:13" x14ac:dyDescent="0.25">
      <c r="A119" t="s">
        <v>381</v>
      </c>
      <c r="B119" t="s">
        <v>5</v>
      </c>
      <c r="C119">
        <v>67</v>
      </c>
      <c r="D119" t="s">
        <v>9</v>
      </c>
      <c r="E119" s="28">
        <v>45031</v>
      </c>
      <c r="F119">
        <v>172</v>
      </c>
      <c r="G119">
        <v>4.5</v>
      </c>
      <c r="H119">
        <v>2023</v>
      </c>
      <c r="I119" t="s">
        <v>1064</v>
      </c>
      <c r="J119" t="s">
        <v>1090</v>
      </c>
      <c r="K119">
        <v>5</v>
      </c>
      <c r="L119" t="s">
        <v>1052</v>
      </c>
      <c r="M119">
        <v>4</v>
      </c>
    </row>
    <row r="120" spans="1:13" x14ac:dyDescent="0.25">
      <c r="A120" t="s">
        <v>382</v>
      </c>
      <c r="B120" t="s">
        <v>14</v>
      </c>
      <c r="C120">
        <v>139</v>
      </c>
      <c r="D120" t="s">
        <v>10</v>
      </c>
      <c r="E120" s="28">
        <v>45031</v>
      </c>
      <c r="F120">
        <v>114</v>
      </c>
      <c r="G120">
        <v>4</v>
      </c>
      <c r="H120">
        <v>2023</v>
      </c>
      <c r="I120" t="s">
        <v>1064</v>
      </c>
      <c r="J120" t="s">
        <v>1092</v>
      </c>
      <c r="K120">
        <v>4</v>
      </c>
      <c r="L120" t="s">
        <v>1052</v>
      </c>
      <c r="M120">
        <v>4</v>
      </c>
    </row>
    <row r="121" spans="1:13" x14ac:dyDescent="0.25">
      <c r="A121" t="s">
        <v>383</v>
      </c>
      <c r="B121" t="s">
        <v>5</v>
      </c>
      <c r="C121">
        <v>102</v>
      </c>
      <c r="D121" t="s">
        <v>10</v>
      </c>
      <c r="E121" s="28">
        <v>45031</v>
      </c>
      <c r="F121">
        <v>60</v>
      </c>
      <c r="G121">
        <v>3.8</v>
      </c>
      <c r="H121">
        <v>2023</v>
      </c>
      <c r="I121" t="s">
        <v>1064</v>
      </c>
      <c r="J121" t="s">
        <v>1090</v>
      </c>
      <c r="K121">
        <v>4</v>
      </c>
      <c r="L121" t="s">
        <v>1052</v>
      </c>
      <c r="M121">
        <v>4</v>
      </c>
    </row>
    <row r="122" spans="1:13" x14ac:dyDescent="0.25">
      <c r="A122" t="s">
        <v>385</v>
      </c>
      <c r="B122" t="s">
        <v>15</v>
      </c>
      <c r="C122">
        <v>66</v>
      </c>
      <c r="D122" t="s">
        <v>9</v>
      </c>
      <c r="E122" s="28">
        <v>45031</v>
      </c>
      <c r="F122">
        <v>210</v>
      </c>
      <c r="G122">
        <v>4.3</v>
      </c>
      <c r="H122">
        <v>2023</v>
      </c>
      <c r="I122" t="s">
        <v>1064</v>
      </c>
      <c r="J122" t="s">
        <v>1090</v>
      </c>
      <c r="K122">
        <v>4</v>
      </c>
      <c r="L122" t="s">
        <v>1052</v>
      </c>
      <c r="M122">
        <v>4</v>
      </c>
    </row>
    <row r="123" spans="1:13" x14ac:dyDescent="0.25">
      <c r="A123" t="s">
        <v>390</v>
      </c>
      <c r="B123" t="s">
        <v>19</v>
      </c>
      <c r="C123">
        <v>45</v>
      </c>
      <c r="D123" t="s">
        <v>11</v>
      </c>
      <c r="E123" s="28">
        <v>45032</v>
      </c>
      <c r="F123">
        <v>156</v>
      </c>
      <c r="G123">
        <v>2.7</v>
      </c>
      <c r="H123">
        <v>2023</v>
      </c>
      <c r="I123" t="s">
        <v>1065</v>
      </c>
      <c r="J123" t="s">
        <v>1091</v>
      </c>
      <c r="K123">
        <v>3</v>
      </c>
      <c r="L123" t="s">
        <v>1052</v>
      </c>
      <c r="M123">
        <v>4</v>
      </c>
    </row>
    <row r="124" spans="1:13" x14ac:dyDescent="0.25">
      <c r="A124" t="s">
        <v>396</v>
      </c>
      <c r="B124" t="s">
        <v>14</v>
      </c>
      <c r="C124">
        <v>69</v>
      </c>
      <c r="D124" t="s">
        <v>11</v>
      </c>
      <c r="E124" s="28">
        <v>45032</v>
      </c>
      <c r="F124">
        <v>130</v>
      </c>
      <c r="G124">
        <v>1.9</v>
      </c>
      <c r="H124">
        <v>2023</v>
      </c>
      <c r="I124" t="s">
        <v>1065</v>
      </c>
      <c r="J124" t="s">
        <v>1090</v>
      </c>
      <c r="K124">
        <v>2</v>
      </c>
      <c r="L124" t="s">
        <v>1052</v>
      </c>
      <c r="M124">
        <v>4</v>
      </c>
    </row>
    <row r="125" spans="1:13" x14ac:dyDescent="0.25">
      <c r="A125" t="s">
        <v>397</v>
      </c>
      <c r="B125" t="s">
        <v>18</v>
      </c>
      <c r="C125">
        <v>110</v>
      </c>
      <c r="D125" t="s">
        <v>13</v>
      </c>
      <c r="E125" s="28">
        <v>45033</v>
      </c>
      <c r="F125">
        <v>21</v>
      </c>
      <c r="G125">
        <v>2.6</v>
      </c>
      <c r="H125">
        <v>2023</v>
      </c>
      <c r="I125" t="s">
        <v>1063</v>
      </c>
      <c r="J125" t="s">
        <v>1090</v>
      </c>
      <c r="K125">
        <v>3</v>
      </c>
      <c r="L125" t="s">
        <v>1052</v>
      </c>
      <c r="M125">
        <v>4</v>
      </c>
    </row>
    <row r="126" spans="1:13" x14ac:dyDescent="0.25">
      <c r="A126" t="s">
        <v>398</v>
      </c>
      <c r="B126" t="s">
        <v>5</v>
      </c>
      <c r="C126">
        <v>64</v>
      </c>
      <c r="D126" t="s">
        <v>10</v>
      </c>
      <c r="E126" s="28">
        <v>45033</v>
      </c>
      <c r="F126">
        <v>88</v>
      </c>
      <c r="G126">
        <v>4.3</v>
      </c>
      <c r="H126">
        <v>2023</v>
      </c>
      <c r="I126" t="s">
        <v>1063</v>
      </c>
      <c r="J126" t="s">
        <v>1090</v>
      </c>
      <c r="K126">
        <v>4</v>
      </c>
      <c r="L126" t="s">
        <v>1052</v>
      </c>
      <c r="M126">
        <v>4</v>
      </c>
    </row>
    <row r="127" spans="1:13" x14ac:dyDescent="0.25">
      <c r="A127" t="s">
        <v>400</v>
      </c>
      <c r="B127" t="s">
        <v>5</v>
      </c>
      <c r="C127">
        <v>165</v>
      </c>
      <c r="D127" t="s">
        <v>9</v>
      </c>
      <c r="E127" s="28">
        <v>45033</v>
      </c>
      <c r="F127">
        <v>68</v>
      </c>
      <c r="G127">
        <v>4.3</v>
      </c>
      <c r="H127">
        <v>2023</v>
      </c>
      <c r="I127" t="s">
        <v>1063</v>
      </c>
      <c r="J127" t="s">
        <v>1092</v>
      </c>
      <c r="K127">
        <v>4</v>
      </c>
      <c r="L127" t="s">
        <v>1052</v>
      </c>
      <c r="M127">
        <v>4</v>
      </c>
    </row>
    <row r="128" spans="1:13" x14ac:dyDescent="0.25">
      <c r="A128" t="s">
        <v>401</v>
      </c>
      <c r="B128" t="s">
        <v>19</v>
      </c>
      <c r="C128">
        <v>125</v>
      </c>
      <c r="D128" t="s">
        <v>9</v>
      </c>
      <c r="E128" s="28">
        <v>45033</v>
      </c>
      <c r="F128">
        <v>148</v>
      </c>
      <c r="G128">
        <v>4.5</v>
      </c>
      <c r="H128">
        <v>2023</v>
      </c>
      <c r="I128" t="s">
        <v>1063</v>
      </c>
      <c r="J128" t="s">
        <v>1092</v>
      </c>
      <c r="K128">
        <v>5</v>
      </c>
      <c r="L128" t="s">
        <v>1052</v>
      </c>
      <c r="M128">
        <v>4</v>
      </c>
    </row>
    <row r="129" spans="1:13" x14ac:dyDescent="0.25">
      <c r="A129" t="s">
        <v>403</v>
      </c>
      <c r="B129" t="s">
        <v>14</v>
      </c>
      <c r="C129">
        <v>6</v>
      </c>
      <c r="D129" t="s">
        <v>10</v>
      </c>
      <c r="E129" s="28">
        <v>45034</v>
      </c>
      <c r="F129">
        <v>75</v>
      </c>
      <c r="G129">
        <v>3.9</v>
      </c>
      <c r="H129">
        <v>2023</v>
      </c>
      <c r="I129" t="s">
        <v>1067</v>
      </c>
      <c r="J129" t="s">
        <v>1093</v>
      </c>
      <c r="K129">
        <v>4</v>
      </c>
      <c r="L129" t="s">
        <v>1052</v>
      </c>
      <c r="M129">
        <v>4</v>
      </c>
    </row>
    <row r="130" spans="1:13" x14ac:dyDescent="0.25">
      <c r="A130" t="s">
        <v>411</v>
      </c>
      <c r="B130" t="s">
        <v>5</v>
      </c>
      <c r="C130">
        <v>62</v>
      </c>
      <c r="D130" t="s">
        <v>11</v>
      </c>
      <c r="E130" s="28">
        <v>45035</v>
      </c>
      <c r="F130">
        <v>35</v>
      </c>
      <c r="G130">
        <v>4.4000000000000004</v>
      </c>
      <c r="H130">
        <v>2023</v>
      </c>
      <c r="I130" t="s">
        <v>1068</v>
      </c>
      <c r="J130" t="s">
        <v>1090</v>
      </c>
      <c r="K130">
        <v>4</v>
      </c>
      <c r="L130" t="s">
        <v>1052</v>
      </c>
      <c r="M130">
        <v>4</v>
      </c>
    </row>
    <row r="131" spans="1:13" x14ac:dyDescent="0.25">
      <c r="A131" t="s">
        <v>412</v>
      </c>
      <c r="B131" t="s">
        <v>18</v>
      </c>
      <c r="C131">
        <v>88</v>
      </c>
      <c r="D131" t="s">
        <v>11</v>
      </c>
      <c r="E131" s="28">
        <v>45036</v>
      </c>
      <c r="F131">
        <v>35</v>
      </c>
      <c r="G131">
        <v>3.8</v>
      </c>
      <c r="H131">
        <v>2023</v>
      </c>
      <c r="I131" t="s">
        <v>1066</v>
      </c>
      <c r="J131" t="s">
        <v>1090</v>
      </c>
      <c r="K131">
        <v>4</v>
      </c>
      <c r="L131" t="s">
        <v>1052</v>
      </c>
      <c r="M131">
        <v>4</v>
      </c>
    </row>
    <row r="132" spans="1:13" x14ac:dyDescent="0.25">
      <c r="A132" t="s">
        <v>413</v>
      </c>
      <c r="B132" t="s">
        <v>19</v>
      </c>
      <c r="C132">
        <v>116</v>
      </c>
      <c r="D132" t="s">
        <v>11</v>
      </c>
      <c r="E132" s="28">
        <v>45036</v>
      </c>
      <c r="F132">
        <v>132</v>
      </c>
      <c r="G132">
        <v>5</v>
      </c>
      <c r="H132">
        <v>2023</v>
      </c>
      <c r="I132" t="s">
        <v>1066</v>
      </c>
      <c r="J132" t="s">
        <v>1090</v>
      </c>
      <c r="K132">
        <v>5</v>
      </c>
      <c r="L132" t="s">
        <v>1052</v>
      </c>
      <c r="M132">
        <v>4</v>
      </c>
    </row>
    <row r="133" spans="1:13" x14ac:dyDescent="0.25">
      <c r="A133" t="s">
        <v>415</v>
      </c>
      <c r="B133" t="s">
        <v>5</v>
      </c>
      <c r="C133">
        <v>99</v>
      </c>
      <c r="D133" t="s">
        <v>9</v>
      </c>
      <c r="E133" s="28">
        <v>45037</v>
      </c>
      <c r="F133">
        <v>48</v>
      </c>
      <c r="G133">
        <v>5</v>
      </c>
      <c r="H133">
        <v>2023</v>
      </c>
      <c r="I133" t="s">
        <v>1062</v>
      </c>
      <c r="J133" t="s">
        <v>1090</v>
      </c>
      <c r="K133">
        <v>5</v>
      </c>
      <c r="L133" t="s">
        <v>1052</v>
      </c>
      <c r="M133">
        <v>4</v>
      </c>
    </row>
    <row r="134" spans="1:13" x14ac:dyDescent="0.25">
      <c r="A134" t="s">
        <v>416</v>
      </c>
      <c r="B134" t="s">
        <v>5</v>
      </c>
      <c r="C134">
        <v>55</v>
      </c>
      <c r="D134" t="s">
        <v>10</v>
      </c>
      <c r="E134" s="28">
        <v>45037</v>
      </c>
      <c r="F134">
        <v>200</v>
      </c>
      <c r="G134">
        <v>2.2999999999999998</v>
      </c>
      <c r="H134">
        <v>2023</v>
      </c>
      <c r="I134" t="s">
        <v>1062</v>
      </c>
      <c r="J134" t="s">
        <v>1091</v>
      </c>
      <c r="K134">
        <v>2</v>
      </c>
      <c r="L134" t="s">
        <v>1052</v>
      </c>
      <c r="M134">
        <v>4</v>
      </c>
    </row>
    <row r="135" spans="1:13" x14ac:dyDescent="0.25">
      <c r="A135" t="s">
        <v>418</v>
      </c>
      <c r="B135" t="s">
        <v>19</v>
      </c>
      <c r="C135">
        <v>36</v>
      </c>
      <c r="D135" t="s">
        <v>13</v>
      </c>
      <c r="E135" s="28">
        <v>45037</v>
      </c>
      <c r="F135">
        <v>81</v>
      </c>
      <c r="G135">
        <v>3.7</v>
      </c>
      <c r="H135">
        <v>2023</v>
      </c>
      <c r="I135" t="s">
        <v>1062</v>
      </c>
      <c r="J135" t="s">
        <v>1091</v>
      </c>
      <c r="K135">
        <v>4</v>
      </c>
      <c r="L135" t="s">
        <v>1052</v>
      </c>
      <c r="M135">
        <v>4</v>
      </c>
    </row>
    <row r="136" spans="1:13" x14ac:dyDescent="0.25">
      <c r="A136" t="s">
        <v>423</v>
      </c>
      <c r="B136" t="s">
        <v>5</v>
      </c>
      <c r="C136">
        <v>53</v>
      </c>
      <c r="D136" t="s">
        <v>11</v>
      </c>
      <c r="E136" s="28">
        <v>45038</v>
      </c>
      <c r="F136">
        <v>110</v>
      </c>
      <c r="G136">
        <v>4.3</v>
      </c>
      <c r="H136">
        <v>2023</v>
      </c>
      <c r="I136" t="s">
        <v>1064</v>
      </c>
      <c r="J136" t="s">
        <v>1091</v>
      </c>
      <c r="K136">
        <v>4</v>
      </c>
      <c r="L136" t="s">
        <v>1052</v>
      </c>
      <c r="M136">
        <v>4</v>
      </c>
    </row>
    <row r="137" spans="1:13" x14ac:dyDescent="0.25">
      <c r="A137" t="s">
        <v>425</v>
      </c>
      <c r="B137" t="s">
        <v>5</v>
      </c>
      <c r="C137">
        <v>89</v>
      </c>
      <c r="D137" t="s">
        <v>13</v>
      </c>
      <c r="E137" s="28">
        <v>45038</v>
      </c>
      <c r="F137">
        <v>129</v>
      </c>
      <c r="G137">
        <v>4</v>
      </c>
      <c r="H137">
        <v>2023</v>
      </c>
      <c r="I137" t="s">
        <v>1064</v>
      </c>
      <c r="J137" t="s">
        <v>1090</v>
      </c>
      <c r="K137">
        <v>4</v>
      </c>
      <c r="L137" t="s">
        <v>1052</v>
      </c>
      <c r="M137">
        <v>4</v>
      </c>
    </row>
    <row r="138" spans="1:13" x14ac:dyDescent="0.25">
      <c r="A138" t="s">
        <v>426</v>
      </c>
      <c r="B138" t="s">
        <v>18</v>
      </c>
      <c r="C138">
        <v>84</v>
      </c>
      <c r="D138" t="s">
        <v>10</v>
      </c>
      <c r="E138" s="28">
        <v>45038</v>
      </c>
      <c r="F138">
        <v>156</v>
      </c>
      <c r="G138">
        <v>3.2</v>
      </c>
      <c r="H138">
        <v>2023</v>
      </c>
      <c r="I138" t="s">
        <v>1064</v>
      </c>
      <c r="J138" t="s">
        <v>1090</v>
      </c>
      <c r="K138">
        <v>3</v>
      </c>
      <c r="L138" t="s">
        <v>1052</v>
      </c>
      <c r="M138">
        <v>4</v>
      </c>
    </row>
    <row r="139" spans="1:13" x14ac:dyDescent="0.25">
      <c r="A139" t="s">
        <v>431</v>
      </c>
      <c r="B139" t="s">
        <v>15</v>
      </c>
      <c r="C139">
        <v>88</v>
      </c>
      <c r="D139" t="s">
        <v>6</v>
      </c>
      <c r="E139" s="28">
        <v>45039</v>
      </c>
      <c r="F139">
        <v>72</v>
      </c>
      <c r="G139">
        <v>4</v>
      </c>
      <c r="H139">
        <v>2023</v>
      </c>
      <c r="I139" t="s">
        <v>1065</v>
      </c>
      <c r="J139" t="s">
        <v>1090</v>
      </c>
      <c r="K139">
        <v>4</v>
      </c>
      <c r="L139" t="s">
        <v>1052</v>
      </c>
      <c r="M139">
        <v>4</v>
      </c>
    </row>
    <row r="140" spans="1:13" x14ac:dyDescent="0.25">
      <c r="A140" t="s">
        <v>435</v>
      </c>
      <c r="B140" t="s">
        <v>5</v>
      </c>
      <c r="C140">
        <v>26</v>
      </c>
      <c r="D140" t="s">
        <v>13</v>
      </c>
      <c r="E140" s="28">
        <v>45040</v>
      </c>
      <c r="F140">
        <v>43</v>
      </c>
      <c r="G140">
        <v>4.2</v>
      </c>
      <c r="H140">
        <v>2023</v>
      </c>
      <c r="I140" t="s">
        <v>1063</v>
      </c>
      <c r="J140" t="s">
        <v>1094</v>
      </c>
      <c r="K140">
        <v>4</v>
      </c>
      <c r="L140" t="s">
        <v>1052</v>
      </c>
      <c r="M140">
        <v>4</v>
      </c>
    </row>
    <row r="141" spans="1:13" x14ac:dyDescent="0.25">
      <c r="A141" t="s">
        <v>436</v>
      </c>
      <c r="B141" t="s">
        <v>18</v>
      </c>
      <c r="C141">
        <v>131</v>
      </c>
      <c r="D141" t="s">
        <v>6</v>
      </c>
      <c r="E141" s="28">
        <v>45040</v>
      </c>
      <c r="F141">
        <v>41</v>
      </c>
      <c r="G141">
        <v>4.9000000000000004</v>
      </c>
      <c r="H141">
        <v>2023</v>
      </c>
      <c r="I141" t="s">
        <v>1063</v>
      </c>
      <c r="J141" t="s">
        <v>1092</v>
      </c>
      <c r="K141">
        <v>5</v>
      </c>
      <c r="L141" t="s">
        <v>1052</v>
      </c>
      <c r="M141">
        <v>4</v>
      </c>
    </row>
    <row r="142" spans="1:13" x14ac:dyDescent="0.25">
      <c r="A142" t="s">
        <v>445</v>
      </c>
      <c r="B142" t="s">
        <v>15</v>
      </c>
      <c r="C142">
        <v>126</v>
      </c>
      <c r="D142" t="s">
        <v>11</v>
      </c>
      <c r="E142" s="28">
        <v>45042</v>
      </c>
      <c r="F142">
        <v>175</v>
      </c>
      <c r="G142">
        <v>4.8</v>
      </c>
      <c r="H142">
        <v>2023</v>
      </c>
      <c r="I142" t="s">
        <v>1068</v>
      </c>
      <c r="J142" t="s">
        <v>1092</v>
      </c>
      <c r="K142">
        <v>5</v>
      </c>
      <c r="L142" t="s">
        <v>1052</v>
      </c>
      <c r="M142">
        <v>4</v>
      </c>
    </row>
    <row r="143" spans="1:13" x14ac:dyDescent="0.25">
      <c r="A143" t="s">
        <v>451</v>
      </c>
      <c r="B143" t="s">
        <v>15</v>
      </c>
      <c r="C143">
        <v>101</v>
      </c>
      <c r="D143" t="s">
        <v>10</v>
      </c>
      <c r="E143" s="28">
        <v>45043</v>
      </c>
      <c r="F143">
        <v>225</v>
      </c>
      <c r="G143">
        <v>1.9</v>
      </c>
      <c r="H143">
        <v>2023</v>
      </c>
      <c r="I143" t="s">
        <v>1066</v>
      </c>
      <c r="J143" t="s">
        <v>1090</v>
      </c>
      <c r="K143">
        <v>2</v>
      </c>
      <c r="L143" t="s">
        <v>1052</v>
      </c>
      <c r="M143">
        <v>4</v>
      </c>
    </row>
    <row r="144" spans="1:13" x14ac:dyDescent="0.25">
      <c r="A144" t="s">
        <v>456</v>
      </c>
      <c r="B144" t="s">
        <v>15</v>
      </c>
      <c r="C144">
        <v>81</v>
      </c>
      <c r="D144" t="s">
        <v>9</v>
      </c>
      <c r="E144" s="28">
        <v>45045</v>
      </c>
      <c r="F144">
        <v>78</v>
      </c>
      <c r="G144">
        <v>2.9</v>
      </c>
      <c r="H144">
        <v>2023</v>
      </c>
      <c r="I144" t="s">
        <v>1064</v>
      </c>
      <c r="J144" t="s">
        <v>1090</v>
      </c>
      <c r="K144">
        <v>3</v>
      </c>
      <c r="L144" t="s">
        <v>1052</v>
      </c>
      <c r="M144">
        <v>4</v>
      </c>
    </row>
    <row r="145" spans="1:13" x14ac:dyDescent="0.25">
      <c r="A145" t="s">
        <v>457</v>
      </c>
      <c r="B145" t="s">
        <v>15</v>
      </c>
      <c r="C145">
        <v>81</v>
      </c>
      <c r="D145" t="s">
        <v>13</v>
      </c>
      <c r="E145" s="28">
        <v>45045</v>
      </c>
      <c r="F145">
        <v>40</v>
      </c>
      <c r="G145">
        <v>2.4</v>
      </c>
      <c r="H145">
        <v>2023</v>
      </c>
      <c r="I145" t="s">
        <v>1064</v>
      </c>
      <c r="J145" t="s">
        <v>1090</v>
      </c>
      <c r="K145">
        <v>2</v>
      </c>
      <c r="L145" t="s">
        <v>1052</v>
      </c>
      <c r="M145">
        <v>4</v>
      </c>
    </row>
    <row r="146" spans="1:13" x14ac:dyDescent="0.25">
      <c r="A146" t="s">
        <v>462</v>
      </c>
      <c r="B146" t="s">
        <v>5</v>
      </c>
      <c r="C146">
        <v>60</v>
      </c>
      <c r="D146" t="s">
        <v>9</v>
      </c>
      <c r="E146" s="28">
        <v>45047</v>
      </c>
      <c r="F146">
        <v>41</v>
      </c>
      <c r="G146">
        <v>4.8</v>
      </c>
      <c r="H146">
        <v>2023</v>
      </c>
      <c r="I146" t="s">
        <v>1063</v>
      </c>
      <c r="J146" t="s">
        <v>1091</v>
      </c>
      <c r="K146">
        <v>5</v>
      </c>
      <c r="L146" t="s">
        <v>1053</v>
      </c>
      <c r="M146">
        <v>5</v>
      </c>
    </row>
    <row r="147" spans="1:13" x14ac:dyDescent="0.25">
      <c r="A147" t="s">
        <v>463</v>
      </c>
      <c r="B147" t="s">
        <v>14</v>
      </c>
      <c r="C147">
        <v>137</v>
      </c>
      <c r="D147" t="s">
        <v>11</v>
      </c>
      <c r="E147" s="28">
        <v>45047</v>
      </c>
      <c r="F147">
        <v>20</v>
      </c>
      <c r="G147">
        <v>4.2</v>
      </c>
      <c r="H147">
        <v>2023</v>
      </c>
      <c r="I147" t="s">
        <v>1063</v>
      </c>
      <c r="J147" t="s">
        <v>1092</v>
      </c>
      <c r="K147">
        <v>4</v>
      </c>
      <c r="L147" t="s">
        <v>1053</v>
      </c>
      <c r="M147">
        <v>5</v>
      </c>
    </row>
    <row r="148" spans="1:13" x14ac:dyDescent="0.25">
      <c r="A148" t="s">
        <v>466</v>
      </c>
      <c r="B148" t="s">
        <v>19</v>
      </c>
      <c r="C148">
        <v>73</v>
      </c>
      <c r="D148" t="s">
        <v>9</v>
      </c>
      <c r="E148" s="28">
        <v>45047</v>
      </c>
      <c r="F148">
        <v>66</v>
      </c>
      <c r="G148">
        <v>4.8</v>
      </c>
      <c r="H148">
        <v>2023</v>
      </c>
      <c r="I148" t="s">
        <v>1063</v>
      </c>
      <c r="J148" t="s">
        <v>1090</v>
      </c>
      <c r="K148">
        <v>5</v>
      </c>
      <c r="L148" t="s">
        <v>1053</v>
      </c>
      <c r="M148">
        <v>5</v>
      </c>
    </row>
    <row r="149" spans="1:13" x14ac:dyDescent="0.25">
      <c r="A149" t="s">
        <v>467</v>
      </c>
      <c r="B149" t="s">
        <v>18</v>
      </c>
      <c r="C149">
        <v>119</v>
      </c>
      <c r="D149" t="s">
        <v>11</v>
      </c>
      <c r="E149" s="28">
        <v>45047</v>
      </c>
      <c r="F149">
        <v>105</v>
      </c>
      <c r="G149">
        <v>4.7</v>
      </c>
      <c r="H149">
        <v>2023</v>
      </c>
      <c r="I149" t="s">
        <v>1063</v>
      </c>
      <c r="J149" t="s">
        <v>1090</v>
      </c>
      <c r="K149">
        <v>5</v>
      </c>
      <c r="L149" t="s">
        <v>1053</v>
      </c>
      <c r="M149">
        <v>5</v>
      </c>
    </row>
    <row r="150" spans="1:13" x14ac:dyDescent="0.25">
      <c r="A150" t="s">
        <v>469</v>
      </c>
      <c r="B150" t="s">
        <v>14</v>
      </c>
      <c r="C150">
        <v>41</v>
      </c>
      <c r="D150" t="s">
        <v>6</v>
      </c>
      <c r="E150" s="28">
        <v>45048</v>
      </c>
      <c r="F150">
        <v>123</v>
      </c>
      <c r="G150">
        <v>3.2</v>
      </c>
      <c r="H150">
        <v>2023</v>
      </c>
      <c r="I150" t="s">
        <v>1067</v>
      </c>
      <c r="J150" t="s">
        <v>1091</v>
      </c>
      <c r="K150">
        <v>3</v>
      </c>
      <c r="L150" t="s">
        <v>1053</v>
      </c>
      <c r="M150">
        <v>5</v>
      </c>
    </row>
    <row r="151" spans="1:13" x14ac:dyDescent="0.25">
      <c r="A151" t="s">
        <v>475</v>
      </c>
      <c r="B151" t="s">
        <v>5</v>
      </c>
      <c r="C151">
        <v>111</v>
      </c>
      <c r="D151" t="s">
        <v>11</v>
      </c>
      <c r="E151" s="28">
        <v>45050</v>
      </c>
      <c r="F151">
        <v>90</v>
      </c>
      <c r="G151">
        <v>2.8</v>
      </c>
      <c r="H151">
        <v>2023</v>
      </c>
      <c r="I151" t="s">
        <v>1066</v>
      </c>
      <c r="J151" t="s">
        <v>1090</v>
      </c>
      <c r="K151">
        <v>3</v>
      </c>
      <c r="L151" t="s">
        <v>1053</v>
      </c>
      <c r="M151">
        <v>5</v>
      </c>
    </row>
    <row r="152" spans="1:13" x14ac:dyDescent="0.25">
      <c r="A152" t="s">
        <v>478</v>
      </c>
      <c r="B152" t="s">
        <v>5</v>
      </c>
      <c r="C152">
        <v>143</v>
      </c>
      <c r="D152" t="s">
        <v>13</v>
      </c>
      <c r="E152" s="28">
        <v>45052</v>
      </c>
      <c r="F152">
        <v>54</v>
      </c>
      <c r="G152">
        <v>4.4000000000000004</v>
      </c>
      <c r="H152">
        <v>2023</v>
      </c>
      <c r="I152" t="s">
        <v>1064</v>
      </c>
      <c r="J152" t="s">
        <v>1092</v>
      </c>
      <c r="K152">
        <v>4</v>
      </c>
      <c r="L152" t="s">
        <v>1053</v>
      </c>
      <c r="M152">
        <v>5</v>
      </c>
    </row>
    <row r="153" spans="1:13" x14ac:dyDescent="0.25">
      <c r="A153" t="s">
        <v>480</v>
      </c>
      <c r="B153" t="s">
        <v>19</v>
      </c>
      <c r="C153">
        <v>137</v>
      </c>
      <c r="D153" t="s">
        <v>13</v>
      </c>
      <c r="E153" s="28">
        <v>45053</v>
      </c>
      <c r="F153">
        <v>44</v>
      </c>
      <c r="G153">
        <v>4.7</v>
      </c>
      <c r="H153">
        <v>2023</v>
      </c>
      <c r="I153" t="s">
        <v>1065</v>
      </c>
      <c r="J153" t="s">
        <v>1092</v>
      </c>
      <c r="K153">
        <v>5</v>
      </c>
      <c r="L153" t="s">
        <v>1053</v>
      </c>
      <c r="M153">
        <v>5</v>
      </c>
    </row>
    <row r="154" spans="1:13" x14ac:dyDescent="0.25">
      <c r="A154" t="s">
        <v>484</v>
      </c>
      <c r="B154" t="s">
        <v>19</v>
      </c>
      <c r="C154">
        <v>73</v>
      </c>
      <c r="D154" t="s">
        <v>10</v>
      </c>
      <c r="E154" s="28">
        <v>45054</v>
      </c>
      <c r="F154">
        <v>87</v>
      </c>
      <c r="G154">
        <v>3.6</v>
      </c>
      <c r="H154">
        <v>2023</v>
      </c>
      <c r="I154" t="s">
        <v>1063</v>
      </c>
      <c r="J154" t="s">
        <v>1090</v>
      </c>
      <c r="K154">
        <v>4</v>
      </c>
      <c r="L154" t="s">
        <v>1053</v>
      </c>
      <c r="M154">
        <v>5</v>
      </c>
    </row>
    <row r="155" spans="1:13" x14ac:dyDescent="0.25">
      <c r="A155" t="s">
        <v>488</v>
      </c>
      <c r="B155" t="s">
        <v>5</v>
      </c>
      <c r="C155">
        <v>89</v>
      </c>
      <c r="D155" t="s">
        <v>13</v>
      </c>
      <c r="E155" s="28">
        <v>45056</v>
      </c>
      <c r="F155">
        <v>176</v>
      </c>
      <c r="G155">
        <v>4.5</v>
      </c>
      <c r="H155">
        <v>2023</v>
      </c>
      <c r="I155" t="s">
        <v>1068</v>
      </c>
      <c r="J155" t="s">
        <v>1090</v>
      </c>
      <c r="K155">
        <v>5</v>
      </c>
      <c r="L155" t="s">
        <v>1053</v>
      </c>
      <c r="M155">
        <v>5</v>
      </c>
    </row>
    <row r="156" spans="1:13" x14ac:dyDescent="0.25">
      <c r="A156" t="s">
        <v>489</v>
      </c>
      <c r="B156" t="s">
        <v>18</v>
      </c>
      <c r="C156">
        <v>54</v>
      </c>
      <c r="D156" t="s">
        <v>11</v>
      </c>
      <c r="E156" s="28">
        <v>45057</v>
      </c>
      <c r="F156">
        <v>31</v>
      </c>
      <c r="G156">
        <v>3.3</v>
      </c>
      <c r="H156">
        <v>2023</v>
      </c>
      <c r="I156" t="s">
        <v>1066</v>
      </c>
      <c r="J156" t="s">
        <v>1091</v>
      </c>
      <c r="K156">
        <v>3</v>
      </c>
      <c r="L156" t="s">
        <v>1053</v>
      </c>
      <c r="M156">
        <v>5</v>
      </c>
    </row>
    <row r="157" spans="1:13" x14ac:dyDescent="0.25">
      <c r="A157" t="s">
        <v>491</v>
      </c>
      <c r="B157" t="s">
        <v>14</v>
      </c>
      <c r="C157">
        <v>91</v>
      </c>
      <c r="D157" t="s">
        <v>13</v>
      </c>
      <c r="E157" s="28">
        <v>45058</v>
      </c>
      <c r="F157">
        <v>76</v>
      </c>
      <c r="G157">
        <v>4.9000000000000004</v>
      </c>
      <c r="H157">
        <v>2023</v>
      </c>
      <c r="I157" t="s">
        <v>1062</v>
      </c>
      <c r="J157" t="s">
        <v>1090</v>
      </c>
      <c r="K157">
        <v>5</v>
      </c>
      <c r="L157" t="s">
        <v>1053</v>
      </c>
      <c r="M157">
        <v>5</v>
      </c>
    </row>
    <row r="158" spans="1:13" x14ac:dyDescent="0.25">
      <c r="A158" t="s">
        <v>493</v>
      </c>
      <c r="B158" t="s">
        <v>14</v>
      </c>
      <c r="C158">
        <v>81</v>
      </c>
      <c r="D158" t="s">
        <v>9</v>
      </c>
      <c r="E158" s="28">
        <v>45060</v>
      </c>
      <c r="F158">
        <v>100</v>
      </c>
      <c r="G158">
        <v>1.3</v>
      </c>
      <c r="H158">
        <v>2023</v>
      </c>
      <c r="I158" t="s">
        <v>1065</v>
      </c>
      <c r="J158" t="s">
        <v>1090</v>
      </c>
      <c r="K158">
        <v>1</v>
      </c>
      <c r="L158" t="s">
        <v>1053</v>
      </c>
      <c r="M158">
        <v>5</v>
      </c>
    </row>
    <row r="159" spans="1:13" x14ac:dyDescent="0.25">
      <c r="A159" t="s">
        <v>496</v>
      </c>
      <c r="B159" t="s">
        <v>15</v>
      </c>
      <c r="C159">
        <v>56</v>
      </c>
      <c r="D159" t="s">
        <v>13</v>
      </c>
      <c r="E159" s="28">
        <v>45061</v>
      </c>
      <c r="F159">
        <v>200</v>
      </c>
      <c r="G159">
        <v>4.5999999999999996</v>
      </c>
      <c r="H159">
        <v>2023</v>
      </c>
      <c r="I159" t="s">
        <v>1063</v>
      </c>
      <c r="J159" t="s">
        <v>1091</v>
      </c>
      <c r="K159">
        <v>5</v>
      </c>
      <c r="L159" t="s">
        <v>1053</v>
      </c>
      <c r="M159">
        <v>5</v>
      </c>
    </row>
    <row r="160" spans="1:13" x14ac:dyDescent="0.25">
      <c r="A160" t="s">
        <v>498</v>
      </c>
      <c r="B160" t="s">
        <v>5</v>
      </c>
      <c r="C160">
        <v>51</v>
      </c>
      <c r="D160" t="s">
        <v>13</v>
      </c>
      <c r="E160" s="28">
        <v>45062</v>
      </c>
      <c r="F160">
        <v>117</v>
      </c>
      <c r="G160">
        <v>2.7</v>
      </c>
      <c r="H160">
        <v>2023</v>
      </c>
      <c r="I160" t="s">
        <v>1067</v>
      </c>
      <c r="J160" t="s">
        <v>1091</v>
      </c>
      <c r="K160">
        <v>3</v>
      </c>
      <c r="L160" t="s">
        <v>1053</v>
      </c>
      <c r="M160">
        <v>5</v>
      </c>
    </row>
    <row r="161" spans="1:13" x14ac:dyDescent="0.25">
      <c r="A161" t="s">
        <v>501</v>
      </c>
      <c r="B161" t="s">
        <v>5</v>
      </c>
      <c r="C161">
        <v>139</v>
      </c>
      <c r="D161" t="s">
        <v>11</v>
      </c>
      <c r="E161" s="28">
        <v>45063</v>
      </c>
      <c r="F161">
        <v>220</v>
      </c>
      <c r="G161">
        <v>3.2</v>
      </c>
      <c r="H161">
        <v>2023</v>
      </c>
      <c r="I161" t="s">
        <v>1068</v>
      </c>
      <c r="J161" t="s">
        <v>1092</v>
      </c>
      <c r="K161">
        <v>3</v>
      </c>
      <c r="L161" t="s">
        <v>1053</v>
      </c>
      <c r="M161">
        <v>5</v>
      </c>
    </row>
    <row r="162" spans="1:13" x14ac:dyDescent="0.25">
      <c r="A162" t="s">
        <v>504</v>
      </c>
      <c r="B162" t="s">
        <v>18</v>
      </c>
      <c r="C162">
        <v>19</v>
      </c>
      <c r="D162" t="s">
        <v>6</v>
      </c>
      <c r="E162" s="28">
        <v>45064</v>
      </c>
      <c r="F162">
        <v>132</v>
      </c>
      <c r="G162">
        <v>4.3</v>
      </c>
      <c r="H162">
        <v>2023</v>
      </c>
      <c r="I162" t="s">
        <v>1066</v>
      </c>
      <c r="J162" t="s">
        <v>1094</v>
      </c>
      <c r="K162">
        <v>4</v>
      </c>
      <c r="L162" t="s">
        <v>1053</v>
      </c>
      <c r="M162">
        <v>5</v>
      </c>
    </row>
    <row r="163" spans="1:13" x14ac:dyDescent="0.25">
      <c r="A163" t="s">
        <v>511</v>
      </c>
      <c r="B163" t="s">
        <v>18</v>
      </c>
      <c r="C163">
        <v>64</v>
      </c>
      <c r="D163" t="s">
        <v>6</v>
      </c>
      <c r="E163" s="28">
        <v>45068</v>
      </c>
      <c r="F163">
        <v>132</v>
      </c>
      <c r="G163">
        <v>3.3</v>
      </c>
      <c r="H163">
        <v>2023</v>
      </c>
      <c r="I163" t="s">
        <v>1063</v>
      </c>
      <c r="J163" t="s">
        <v>1090</v>
      </c>
      <c r="K163">
        <v>3</v>
      </c>
      <c r="L163" t="s">
        <v>1053</v>
      </c>
      <c r="M163">
        <v>5</v>
      </c>
    </row>
    <row r="164" spans="1:13" x14ac:dyDescent="0.25">
      <c r="A164" t="s">
        <v>516</v>
      </c>
      <c r="B164" t="s">
        <v>5</v>
      </c>
      <c r="C164">
        <v>63</v>
      </c>
      <c r="D164" t="s">
        <v>13</v>
      </c>
      <c r="E164" s="28">
        <v>45069</v>
      </c>
      <c r="F164">
        <v>80</v>
      </c>
      <c r="G164">
        <v>2.5</v>
      </c>
      <c r="H164">
        <v>2023</v>
      </c>
      <c r="I164" t="s">
        <v>1067</v>
      </c>
      <c r="J164" t="s">
        <v>1090</v>
      </c>
      <c r="K164">
        <v>3</v>
      </c>
      <c r="L164" t="s">
        <v>1053</v>
      </c>
      <c r="M164">
        <v>5</v>
      </c>
    </row>
    <row r="165" spans="1:13" x14ac:dyDescent="0.25">
      <c r="A165" t="s">
        <v>517</v>
      </c>
      <c r="B165" t="s">
        <v>18</v>
      </c>
      <c r="C165">
        <v>59</v>
      </c>
      <c r="D165" t="s">
        <v>10</v>
      </c>
      <c r="E165" s="28">
        <v>45070</v>
      </c>
      <c r="F165">
        <v>123</v>
      </c>
      <c r="G165">
        <v>3.6</v>
      </c>
      <c r="H165">
        <v>2023</v>
      </c>
      <c r="I165" t="s">
        <v>1068</v>
      </c>
      <c r="J165" t="s">
        <v>1091</v>
      </c>
      <c r="K165">
        <v>4</v>
      </c>
      <c r="L165" t="s">
        <v>1053</v>
      </c>
      <c r="M165">
        <v>5</v>
      </c>
    </row>
    <row r="166" spans="1:13" x14ac:dyDescent="0.25">
      <c r="A166" t="s">
        <v>520</v>
      </c>
      <c r="B166" t="s">
        <v>14</v>
      </c>
      <c r="C166">
        <v>151</v>
      </c>
      <c r="D166" t="s">
        <v>13</v>
      </c>
      <c r="E166" s="28">
        <v>45071</v>
      </c>
      <c r="F166">
        <v>123</v>
      </c>
      <c r="G166">
        <v>3.7</v>
      </c>
      <c r="H166">
        <v>2023</v>
      </c>
      <c r="I166" t="s">
        <v>1066</v>
      </c>
      <c r="J166" t="s">
        <v>1092</v>
      </c>
      <c r="K166">
        <v>4</v>
      </c>
      <c r="L166" t="s">
        <v>1053</v>
      </c>
      <c r="M166">
        <v>5</v>
      </c>
    </row>
    <row r="167" spans="1:13" x14ac:dyDescent="0.25">
      <c r="A167" t="s">
        <v>522</v>
      </c>
      <c r="B167" t="s">
        <v>5</v>
      </c>
      <c r="C167">
        <v>148</v>
      </c>
      <c r="D167" t="s">
        <v>6</v>
      </c>
      <c r="E167" s="28">
        <v>45071</v>
      </c>
      <c r="F167">
        <v>36</v>
      </c>
      <c r="G167">
        <v>2.9</v>
      </c>
      <c r="H167">
        <v>2023</v>
      </c>
      <c r="I167" t="s">
        <v>1066</v>
      </c>
      <c r="J167" t="s">
        <v>1092</v>
      </c>
      <c r="K167">
        <v>3</v>
      </c>
      <c r="L167" t="s">
        <v>1053</v>
      </c>
      <c r="M167">
        <v>5</v>
      </c>
    </row>
    <row r="168" spans="1:13" x14ac:dyDescent="0.25">
      <c r="A168" t="s">
        <v>523</v>
      </c>
      <c r="B168" t="s">
        <v>14</v>
      </c>
      <c r="C168">
        <v>81</v>
      </c>
      <c r="D168" t="s">
        <v>6</v>
      </c>
      <c r="E168" s="28">
        <v>45071</v>
      </c>
      <c r="F168">
        <v>116</v>
      </c>
      <c r="G168">
        <v>4.3</v>
      </c>
      <c r="H168">
        <v>2023</v>
      </c>
      <c r="I168" t="s">
        <v>1066</v>
      </c>
      <c r="J168" t="s">
        <v>1090</v>
      </c>
      <c r="K168">
        <v>4</v>
      </c>
      <c r="L168" t="s">
        <v>1053</v>
      </c>
      <c r="M168">
        <v>5</v>
      </c>
    </row>
    <row r="169" spans="1:13" x14ac:dyDescent="0.25">
      <c r="A169" t="s">
        <v>530</v>
      </c>
      <c r="B169" t="s">
        <v>18</v>
      </c>
      <c r="C169">
        <v>43</v>
      </c>
      <c r="D169" t="s">
        <v>11</v>
      </c>
      <c r="E169" s="28">
        <v>45072</v>
      </c>
      <c r="F169">
        <v>37</v>
      </c>
      <c r="G169">
        <v>4.9000000000000004</v>
      </c>
      <c r="H169">
        <v>2023</v>
      </c>
      <c r="I169" t="s">
        <v>1062</v>
      </c>
      <c r="J169" t="s">
        <v>1091</v>
      </c>
      <c r="K169">
        <v>5</v>
      </c>
      <c r="L169" t="s">
        <v>1053</v>
      </c>
      <c r="M169">
        <v>5</v>
      </c>
    </row>
    <row r="170" spans="1:13" x14ac:dyDescent="0.25">
      <c r="A170" t="s">
        <v>534</v>
      </c>
      <c r="B170" t="s">
        <v>14</v>
      </c>
      <c r="C170">
        <v>40</v>
      </c>
      <c r="D170" t="s">
        <v>10</v>
      </c>
      <c r="E170" s="28">
        <v>45074</v>
      </c>
      <c r="F170">
        <v>116</v>
      </c>
      <c r="G170">
        <v>2.6</v>
      </c>
      <c r="H170">
        <v>2023</v>
      </c>
      <c r="I170" t="s">
        <v>1065</v>
      </c>
      <c r="J170" t="s">
        <v>1091</v>
      </c>
      <c r="K170">
        <v>3</v>
      </c>
      <c r="L170" t="s">
        <v>1053</v>
      </c>
      <c r="M170">
        <v>5</v>
      </c>
    </row>
    <row r="171" spans="1:13" x14ac:dyDescent="0.25">
      <c r="A171" t="s">
        <v>535</v>
      </c>
      <c r="B171" t="s">
        <v>18</v>
      </c>
      <c r="C171">
        <v>122</v>
      </c>
      <c r="D171" t="s">
        <v>6</v>
      </c>
      <c r="E171" s="28">
        <v>45074</v>
      </c>
      <c r="F171">
        <v>45</v>
      </c>
      <c r="G171">
        <v>4.2</v>
      </c>
      <c r="H171">
        <v>2023</v>
      </c>
      <c r="I171" t="s">
        <v>1065</v>
      </c>
      <c r="J171" t="s">
        <v>1092</v>
      </c>
      <c r="K171">
        <v>4</v>
      </c>
      <c r="L171" t="s">
        <v>1053</v>
      </c>
      <c r="M171">
        <v>5</v>
      </c>
    </row>
    <row r="172" spans="1:13" x14ac:dyDescent="0.25">
      <c r="A172" t="s">
        <v>539</v>
      </c>
      <c r="B172" t="s">
        <v>18</v>
      </c>
      <c r="C172">
        <v>134</v>
      </c>
      <c r="D172" t="s">
        <v>6</v>
      </c>
      <c r="E172" s="28">
        <v>45076</v>
      </c>
      <c r="F172">
        <v>120</v>
      </c>
      <c r="G172">
        <v>3</v>
      </c>
      <c r="H172">
        <v>2023</v>
      </c>
      <c r="I172" t="s">
        <v>1067</v>
      </c>
      <c r="J172" t="s">
        <v>1092</v>
      </c>
      <c r="K172">
        <v>3</v>
      </c>
      <c r="L172" t="s">
        <v>1053</v>
      </c>
      <c r="M172">
        <v>5</v>
      </c>
    </row>
    <row r="173" spans="1:13" x14ac:dyDescent="0.25">
      <c r="A173" t="s">
        <v>540</v>
      </c>
      <c r="B173" t="s">
        <v>19</v>
      </c>
      <c r="C173">
        <v>94</v>
      </c>
      <c r="D173" t="s">
        <v>9</v>
      </c>
      <c r="E173" s="28">
        <v>45076</v>
      </c>
      <c r="F173">
        <v>180</v>
      </c>
      <c r="G173">
        <v>4.7</v>
      </c>
      <c r="H173">
        <v>2023</v>
      </c>
      <c r="I173" t="s">
        <v>1067</v>
      </c>
      <c r="J173" t="s">
        <v>1090</v>
      </c>
      <c r="K173">
        <v>5</v>
      </c>
      <c r="L173" t="s">
        <v>1053</v>
      </c>
      <c r="M173">
        <v>5</v>
      </c>
    </row>
    <row r="174" spans="1:13" x14ac:dyDescent="0.25">
      <c r="A174" t="s">
        <v>541</v>
      </c>
      <c r="B174" t="s">
        <v>15</v>
      </c>
      <c r="C174">
        <v>63</v>
      </c>
      <c r="D174" t="s">
        <v>10</v>
      </c>
      <c r="E174" s="28">
        <v>45076</v>
      </c>
      <c r="F174">
        <v>44</v>
      </c>
      <c r="G174">
        <v>3</v>
      </c>
      <c r="H174">
        <v>2023</v>
      </c>
      <c r="I174" t="s">
        <v>1067</v>
      </c>
      <c r="J174" t="s">
        <v>1090</v>
      </c>
      <c r="K174">
        <v>3</v>
      </c>
      <c r="L174" t="s">
        <v>1053</v>
      </c>
      <c r="M174">
        <v>5</v>
      </c>
    </row>
    <row r="175" spans="1:13" x14ac:dyDescent="0.25">
      <c r="A175" t="s">
        <v>543</v>
      </c>
      <c r="B175" t="s">
        <v>18</v>
      </c>
      <c r="C175">
        <v>106</v>
      </c>
      <c r="D175" t="s">
        <v>6</v>
      </c>
      <c r="E175" s="28">
        <v>45077</v>
      </c>
      <c r="F175">
        <v>120</v>
      </c>
      <c r="G175">
        <v>4.0999999999999996</v>
      </c>
      <c r="H175">
        <v>2023</v>
      </c>
      <c r="I175" t="s">
        <v>1068</v>
      </c>
      <c r="J175" t="s">
        <v>1090</v>
      </c>
      <c r="K175">
        <v>4</v>
      </c>
      <c r="L175" t="s">
        <v>1053</v>
      </c>
      <c r="M175">
        <v>5</v>
      </c>
    </row>
    <row r="176" spans="1:13" x14ac:dyDescent="0.25">
      <c r="A176" t="s">
        <v>546</v>
      </c>
      <c r="B176" t="s">
        <v>5</v>
      </c>
      <c r="C176">
        <v>39</v>
      </c>
      <c r="D176" t="s">
        <v>9</v>
      </c>
      <c r="E176" s="28">
        <v>45078</v>
      </c>
      <c r="F176">
        <v>46</v>
      </c>
      <c r="G176">
        <v>4.5999999999999996</v>
      </c>
      <c r="H176">
        <v>2023</v>
      </c>
      <c r="I176" t="s">
        <v>1066</v>
      </c>
      <c r="J176" t="s">
        <v>1091</v>
      </c>
      <c r="K176">
        <v>5</v>
      </c>
      <c r="L176" t="s">
        <v>1054</v>
      </c>
      <c r="M176">
        <v>6</v>
      </c>
    </row>
    <row r="177" spans="1:13" x14ac:dyDescent="0.25">
      <c r="A177" t="s">
        <v>547</v>
      </c>
      <c r="B177" t="s">
        <v>14</v>
      </c>
      <c r="C177">
        <v>111</v>
      </c>
      <c r="D177" t="s">
        <v>6</v>
      </c>
      <c r="E177" s="28">
        <v>45078</v>
      </c>
      <c r="F177">
        <v>210</v>
      </c>
      <c r="G177">
        <v>4.3</v>
      </c>
      <c r="H177">
        <v>2023</v>
      </c>
      <c r="I177" t="s">
        <v>1066</v>
      </c>
      <c r="J177" t="s">
        <v>1090</v>
      </c>
      <c r="K177">
        <v>4</v>
      </c>
      <c r="L177" t="s">
        <v>1054</v>
      </c>
      <c r="M177">
        <v>6</v>
      </c>
    </row>
    <row r="178" spans="1:13" x14ac:dyDescent="0.25">
      <c r="A178" t="s">
        <v>549</v>
      </c>
      <c r="B178" t="s">
        <v>15</v>
      </c>
      <c r="C178">
        <v>147</v>
      </c>
      <c r="D178" t="s">
        <v>6</v>
      </c>
      <c r="E178" s="28">
        <v>45080</v>
      </c>
      <c r="F178">
        <v>115</v>
      </c>
      <c r="G178">
        <v>4.7</v>
      </c>
      <c r="H178">
        <v>2023</v>
      </c>
      <c r="I178" t="s">
        <v>1064</v>
      </c>
      <c r="J178" t="s">
        <v>1092</v>
      </c>
      <c r="K178">
        <v>5</v>
      </c>
      <c r="L178" t="s">
        <v>1054</v>
      </c>
      <c r="M178">
        <v>6</v>
      </c>
    </row>
    <row r="179" spans="1:13" x14ac:dyDescent="0.25">
      <c r="A179" t="s">
        <v>550</v>
      </c>
      <c r="B179" t="s">
        <v>19</v>
      </c>
      <c r="C179">
        <v>49</v>
      </c>
      <c r="D179" t="s">
        <v>9</v>
      </c>
      <c r="E179" s="28">
        <v>45081</v>
      </c>
      <c r="F179">
        <v>100</v>
      </c>
      <c r="G179">
        <v>2.2000000000000002</v>
      </c>
      <c r="H179">
        <v>2023</v>
      </c>
      <c r="I179" t="s">
        <v>1065</v>
      </c>
      <c r="J179" t="s">
        <v>1091</v>
      </c>
      <c r="K179">
        <v>2</v>
      </c>
      <c r="L179" t="s">
        <v>1054</v>
      </c>
      <c r="M179">
        <v>6</v>
      </c>
    </row>
    <row r="180" spans="1:13" x14ac:dyDescent="0.25">
      <c r="A180" t="s">
        <v>559</v>
      </c>
      <c r="B180" t="s">
        <v>14</v>
      </c>
      <c r="C180">
        <v>125</v>
      </c>
      <c r="D180" t="s">
        <v>10</v>
      </c>
      <c r="E180" s="28">
        <v>45086</v>
      </c>
      <c r="F180">
        <v>87</v>
      </c>
      <c r="G180">
        <v>4.0999999999999996</v>
      </c>
      <c r="H180">
        <v>2023</v>
      </c>
      <c r="I180" t="s">
        <v>1062</v>
      </c>
      <c r="J180" t="s">
        <v>1092</v>
      </c>
      <c r="K180">
        <v>4</v>
      </c>
      <c r="L180" t="s">
        <v>1054</v>
      </c>
      <c r="M180">
        <v>6</v>
      </c>
    </row>
    <row r="181" spans="1:13" x14ac:dyDescent="0.25">
      <c r="A181" t="s">
        <v>560</v>
      </c>
      <c r="B181" t="s">
        <v>18</v>
      </c>
      <c r="C181">
        <v>147</v>
      </c>
      <c r="D181" t="s">
        <v>6</v>
      </c>
      <c r="E181" s="28">
        <v>45086</v>
      </c>
      <c r="F181">
        <v>140</v>
      </c>
      <c r="G181">
        <v>4.2</v>
      </c>
      <c r="H181">
        <v>2023</v>
      </c>
      <c r="I181" t="s">
        <v>1062</v>
      </c>
      <c r="J181" t="s">
        <v>1092</v>
      </c>
      <c r="K181">
        <v>4</v>
      </c>
      <c r="L181" t="s">
        <v>1054</v>
      </c>
      <c r="M181">
        <v>6</v>
      </c>
    </row>
    <row r="182" spans="1:13" x14ac:dyDescent="0.25">
      <c r="A182" t="s">
        <v>562</v>
      </c>
      <c r="B182" t="s">
        <v>15</v>
      </c>
      <c r="C182">
        <v>99</v>
      </c>
      <c r="D182" t="s">
        <v>11</v>
      </c>
      <c r="E182" s="28">
        <v>45087</v>
      </c>
      <c r="F182">
        <v>180</v>
      </c>
      <c r="G182">
        <v>3.8</v>
      </c>
      <c r="H182">
        <v>2023</v>
      </c>
      <c r="I182" t="s">
        <v>1064</v>
      </c>
      <c r="J182" t="s">
        <v>1090</v>
      </c>
      <c r="K182">
        <v>4</v>
      </c>
      <c r="L182" t="s">
        <v>1054</v>
      </c>
      <c r="M182">
        <v>6</v>
      </c>
    </row>
    <row r="183" spans="1:13" x14ac:dyDescent="0.25">
      <c r="A183" t="s">
        <v>563</v>
      </c>
      <c r="B183" t="s">
        <v>5</v>
      </c>
      <c r="C183">
        <v>111</v>
      </c>
      <c r="D183" t="s">
        <v>13</v>
      </c>
      <c r="E183" s="28">
        <v>45088</v>
      </c>
      <c r="F183">
        <v>22</v>
      </c>
      <c r="G183">
        <v>4.0999999999999996</v>
      </c>
      <c r="H183">
        <v>2023</v>
      </c>
      <c r="I183" t="s">
        <v>1065</v>
      </c>
      <c r="J183" t="s">
        <v>1090</v>
      </c>
      <c r="K183">
        <v>4</v>
      </c>
      <c r="L183" t="s">
        <v>1054</v>
      </c>
      <c r="M183">
        <v>6</v>
      </c>
    </row>
    <row r="184" spans="1:13" x14ac:dyDescent="0.25">
      <c r="A184" t="s">
        <v>569</v>
      </c>
      <c r="B184" t="s">
        <v>19</v>
      </c>
      <c r="C184">
        <v>158</v>
      </c>
      <c r="D184" t="s">
        <v>11</v>
      </c>
      <c r="E184" s="28">
        <v>45091</v>
      </c>
      <c r="F184">
        <v>190</v>
      </c>
      <c r="G184">
        <v>4</v>
      </c>
      <c r="H184">
        <v>2023</v>
      </c>
      <c r="I184" t="s">
        <v>1068</v>
      </c>
      <c r="J184" t="s">
        <v>1092</v>
      </c>
      <c r="K184">
        <v>4</v>
      </c>
      <c r="L184" t="s">
        <v>1054</v>
      </c>
      <c r="M184">
        <v>6</v>
      </c>
    </row>
    <row r="185" spans="1:13" x14ac:dyDescent="0.25">
      <c r="A185" t="s">
        <v>570</v>
      </c>
      <c r="B185" t="s">
        <v>18</v>
      </c>
      <c r="C185">
        <v>159</v>
      </c>
      <c r="D185" t="s">
        <v>9</v>
      </c>
      <c r="E185" s="28">
        <v>45091</v>
      </c>
      <c r="F185">
        <v>66</v>
      </c>
      <c r="G185">
        <v>3.4</v>
      </c>
      <c r="H185">
        <v>2023</v>
      </c>
      <c r="I185" t="s">
        <v>1068</v>
      </c>
      <c r="J185" t="s">
        <v>1092</v>
      </c>
      <c r="K185">
        <v>3</v>
      </c>
      <c r="L185" t="s">
        <v>1054</v>
      </c>
      <c r="M185">
        <v>6</v>
      </c>
    </row>
    <row r="186" spans="1:13" x14ac:dyDescent="0.25">
      <c r="A186" t="s">
        <v>579</v>
      </c>
      <c r="B186" t="s">
        <v>5</v>
      </c>
      <c r="C186">
        <v>107</v>
      </c>
      <c r="D186" t="s">
        <v>6</v>
      </c>
      <c r="E186" s="28">
        <v>45095</v>
      </c>
      <c r="F186">
        <v>39</v>
      </c>
      <c r="G186">
        <v>4.8</v>
      </c>
      <c r="H186">
        <v>2023</v>
      </c>
      <c r="I186" t="s">
        <v>1065</v>
      </c>
      <c r="J186" t="s">
        <v>1090</v>
      </c>
      <c r="K186">
        <v>5</v>
      </c>
      <c r="L186" t="s">
        <v>1054</v>
      </c>
      <c r="M186">
        <v>6</v>
      </c>
    </row>
    <row r="187" spans="1:13" x14ac:dyDescent="0.25">
      <c r="A187" t="s">
        <v>580</v>
      </c>
      <c r="B187" t="s">
        <v>18</v>
      </c>
      <c r="C187">
        <v>85</v>
      </c>
      <c r="D187" t="s">
        <v>13</v>
      </c>
      <c r="E187" s="28">
        <v>45095</v>
      </c>
      <c r="F187">
        <v>38</v>
      </c>
      <c r="G187">
        <v>4.8</v>
      </c>
      <c r="H187">
        <v>2023</v>
      </c>
      <c r="I187" t="s">
        <v>1065</v>
      </c>
      <c r="J187" t="s">
        <v>1090</v>
      </c>
      <c r="K187">
        <v>5</v>
      </c>
      <c r="L187" t="s">
        <v>1054</v>
      </c>
      <c r="M187">
        <v>6</v>
      </c>
    </row>
    <row r="188" spans="1:13" x14ac:dyDescent="0.25">
      <c r="A188" t="s">
        <v>581</v>
      </c>
      <c r="B188" t="s">
        <v>15</v>
      </c>
      <c r="C188">
        <v>49</v>
      </c>
      <c r="D188" t="s">
        <v>6</v>
      </c>
      <c r="E188" s="28">
        <v>45096</v>
      </c>
      <c r="F188">
        <v>84</v>
      </c>
      <c r="G188">
        <v>2.9</v>
      </c>
      <c r="H188">
        <v>2023</v>
      </c>
      <c r="I188" t="s">
        <v>1063</v>
      </c>
      <c r="J188" t="s">
        <v>1091</v>
      </c>
      <c r="K188">
        <v>3</v>
      </c>
      <c r="L188" t="s">
        <v>1054</v>
      </c>
      <c r="M188">
        <v>6</v>
      </c>
    </row>
    <row r="189" spans="1:13" x14ac:dyDescent="0.25">
      <c r="A189" t="s">
        <v>583</v>
      </c>
      <c r="B189" t="s">
        <v>5</v>
      </c>
      <c r="C189">
        <v>136</v>
      </c>
      <c r="D189" t="s">
        <v>13</v>
      </c>
      <c r="E189" s="28">
        <v>45097</v>
      </c>
      <c r="F189">
        <v>37</v>
      </c>
      <c r="G189">
        <v>0.9</v>
      </c>
      <c r="H189">
        <v>2023</v>
      </c>
      <c r="I189" t="s">
        <v>1067</v>
      </c>
      <c r="J189" t="s">
        <v>1092</v>
      </c>
      <c r="K189">
        <v>1</v>
      </c>
      <c r="L189" t="s">
        <v>1054</v>
      </c>
      <c r="M189">
        <v>6</v>
      </c>
    </row>
    <row r="190" spans="1:13" x14ac:dyDescent="0.25">
      <c r="A190" t="s">
        <v>586</v>
      </c>
      <c r="B190" t="s">
        <v>15</v>
      </c>
      <c r="C190">
        <v>80</v>
      </c>
      <c r="D190" t="s">
        <v>6</v>
      </c>
      <c r="E190" s="28">
        <v>45098</v>
      </c>
      <c r="F190">
        <v>32</v>
      </c>
      <c r="G190">
        <v>4.7</v>
      </c>
      <c r="H190">
        <v>2023</v>
      </c>
      <c r="I190" t="s">
        <v>1068</v>
      </c>
      <c r="J190" t="s">
        <v>1090</v>
      </c>
      <c r="K190">
        <v>5</v>
      </c>
      <c r="L190" t="s">
        <v>1054</v>
      </c>
      <c r="M190">
        <v>6</v>
      </c>
    </row>
    <row r="191" spans="1:13" x14ac:dyDescent="0.25">
      <c r="A191" t="s">
        <v>589</v>
      </c>
      <c r="B191" t="s">
        <v>19</v>
      </c>
      <c r="C191">
        <v>74</v>
      </c>
      <c r="D191" t="s">
        <v>10</v>
      </c>
      <c r="E191" s="28">
        <v>45098</v>
      </c>
      <c r="F191">
        <v>117</v>
      </c>
      <c r="G191">
        <v>4.8</v>
      </c>
      <c r="H191">
        <v>2023</v>
      </c>
      <c r="I191" t="s">
        <v>1068</v>
      </c>
      <c r="J191" t="s">
        <v>1090</v>
      </c>
      <c r="K191">
        <v>5</v>
      </c>
      <c r="L191" t="s">
        <v>1054</v>
      </c>
      <c r="M191">
        <v>6</v>
      </c>
    </row>
    <row r="192" spans="1:13" x14ac:dyDescent="0.25">
      <c r="A192" t="s">
        <v>590</v>
      </c>
      <c r="B192" t="s">
        <v>15</v>
      </c>
      <c r="C192">
        <v>52</v>
      </c>
      <c r="D192" t="s">
        <v>11</v>
      </c>
      <c r="E192" s="28">
        <v>45100</v>
      </c>
      <c r="F192">
        <v>70</v>
      </c>
      <c r="G192">
        <v>4.0999999999999996</v>
      </c>
      <c r="H192">
        <v>2023</v>
      </c>
      <c r="I192" t="s">
        <v>1062</v>
      </c>
      <c r="J192" t="s">
        <v>1091</v>
      </c>
      <c r="K192">
        <v>4</v>
      </c>
      <c r="L192" t="s">
        <v>1054</v>
      </c>
      <c r="M192">
        <v>6</v>
      </c>
    </row>
    <row r="193" spans="1:13" x14ac:dyDescent="0.25">
      <c r="A193" t="s">
        <v>591</v>
      </c>
      <c r="B193" t="s">
        <v>15</v>
      </c>
      <c r="C193">
        <v>74</v>
      </c>
      <c r="D193" t="s">
        <v>9</v>
      </c>
      <c r="E193" s="28">
        <v>45100</v>
      </c>
      <c r="F193">
        <v>37</v>
      </c>
      <c r="G193">
        <v>2.7</v>
      </c>
      <c r="H193">
        <v>2023</v>
      </c>
      <c r="I193" t="s">
        <v>1062</v>
      </c>
      <c r="J193" t="s">
        <v>1090</v>
      </c>
      <c r="K193">
        <v>3</v>
      </c>
      <c r="L193" t="s">
        <v>1054</v>
      </c>
      <c r="M193">
        <v>6</v>
      </c>
    </row>
    <row r="194" spans="1:13" x14ac:dyDescent="0.25">
      <c r="A194" t="s">
        <v>593</v>
      </c>
      <c r="B194" t="s">
        <v>14</v>
      </c>
      <c r="C194">
        <v>104</v>
      </c>
      <c r="D194" t="s">
        <v>6</v>
      </c>
      <c r="E194" s="28">
        <v>45100</v>
      </c>
      <c r="F194">
        <v>136</v>
      </c>
      <c r="G194">
        <v>5</v>
      </c>
      <c r="H194">
        <v>2023</v>
      </c>
      <c r="I194" t="s">
        <v>1062</v>
      </c>
      <c r="J194" t="s">
        <v>1090</v>
      </c>
      <c r="K194">
        <v>5</v>
      </c>
      <c r="L194" t="s">
        <v>1054</v>
      </c>
      <c r="M194">
        <v>6</v>
      </c>
    </row>
    <row r="195" spans="1:13" x14ac:dyDescent="0.25">
      <c r="A195" t="s">
        <v>596</v>
      </c>
      <c r="B195" t="s">
        <v>14</v>
      </c>
      <c r="C195">
        <v>35</v>
      </c>
      <c r="D195" t="s">
        <v>11</v>
      </c>
      <c r="E195" s="28">
        <v>45102</v>
      </c>
      <c r="F195">
        <v>86</v>
      </c>
      <c r="G195">
        <v>4.5999999999999996</v>
      </c>
      <c r="H195">
        <v>2023</v>
      </c>
      <c r="I195" t="s">
        <v>1065</v>
      </c>
      <c r="J195" t="s">
        <v>1091</v>
      </c>
      <c r="K195">
        <v>5</v>
      </c>
      <c r="L195" t="s">
        <v>1054</v>
      </c>
      <c r="M195">
        <v>6</v>
      </c>
    </row>
    <row r="196" spans="1:13" x14ac:dyDescent="0.25">
      <c r="A196" t="s">
        <v>597</v>
      </c>
      <c r="B196" t="s">
        <v>15</v>
      </c>
      <c r="C196">
        <v>123</v>
      </c>
      <c r="D196" t="s">
        <v>6</v>
      </c>
      <c r="E196" s="28">
        <v>45102</v>
      </c>
      <c r="F196">
        <v>68</v>
      </c>
      <c r="G196">
        <v>4.5</v>
      </c>
      <c r="H196">
        <v>2023</v>
      </c>
      <c r="I196" t="s">
        <v>1065</v>
      </c>
      <c r="J196" t="s">
        <v>1092</v>
      </c>
      <c r="K196">
        <v>5</v>
      </c>
      <c r="L196" t="s">
        <v>1054</v>
      </c>
      <c r="M196">
        <v>6</v>
      </c>
    </row>
    <row r="197" spans="1:13" x14ac:dyDescent="0.25">
      <c r="A197" t="s">
        <v>600</v>
      </c>
      <c r="B197" t="s">
        <v>15</v>
      </c>
      <c r="C197">
        <v>39</v>
      </c>
      <c r="D197" t="s">
        <v>10</v>
      </c>
      <c r="E197" s="28">
        <v>45103</v>
      </c>
      <c r="F197">
        <v>176</v>
      </c>
      <c r="G197">
        <v>4.3</v>
      </c>
      <c r="H197">
        <v>2023</v>
      </c>
      <c r="I197" t="s">
        <v>1063</v>
      </c>
      <c r="J197" t="s">
        <v>1091</v>
      </c>
      <c r="K197">
        <v>4</v>
      </c>
      <c r="L197" t="s">
        <v>1054</v>
      </c>
      <c r="M197">
        <v>6</v>
      </c>
    </row>
    <row r="198" spans="1:13" x14ac:dyDescent="0.25">
      <c r="A198" t="s">
        <v>601</v>
      </c>
      <c r="B198" t="s">
        <v>19</v>
      </c>
      <c r="C198">
        <v>31</v>
      </c>
      <c r="D198" t="s">
        <v>6</v>
      </c>
      <c r="E198" s="28">
        <v>45103</v>
      </c>
      <c r="F198">
        <v>172</v>
      </c>
      <c r="G198">
        <v>3.9</v>
      </c>
      <c r="H198">
        <v>2023</v>
      </c>
      <c r="I198" t="s">
        <v>1063</v>
      </c>
      <c r="J198" t="s">
        <v>1091</v>
      </c>
      <c r="K198">
        <v>4</v>
      </c>
      <c r="L198" t="s">
        <v>1054</v>
      </c>
      <c r="M198">
        <v>6</v>
      </c>
    </row>
    <row r="199" spans="1:13" x14ac:dyDescent="0.25">
      <c r="A199" t="s">
        <v>604</v>
      </c>
      <c r="B199" t="s">
        <v>14</v>
      </c>
      <c r="C199">
        <v>63</v>
      </c>
      <c r="D199" t="s">
        <v>9</v>
      </c>
      <c r="E199" s="28">
        <v>45104</v>
      </c>
      <c r="F199">
        <v>70</v>
      </c>
      <c r="G199">
        <v>1.6</v>
      </c>
      <c r="H199">
        <v>2023</v>
      </c>
      <c r="I199" t="s">
        <v>1067</v>
      </c>
      <c r="J199" t="s">
        <v>1090</v>
      </c>
      <c r="K199">
        <v>2</v>
      </c>
      <c r="L199" t="s">
        <v>1054</v>
      </c>
      <c r="M199">
        <v>6</v>
      </c>
    </row>
    <row r="200" spans="1:13" x14ac:dyDescent="0.25">
      <c r="A200" t="s">
        <v>606</v>
      </c>
      <c r="B200" t="s">
        <v>18</v>
      </c>
      <c r="C200">
        <v>101</v>
      </c>
      <c r="D200" t="s">
        <v>9</v>
      </c>
      <c r="E200" s="28">
        <v>45104</v>
      </c>
      <c r="F200">
        <v>84</v>
      </c>
      <c r="G200">
        <v>3.5</v>
      </c>
      <c r="H200">
        <v>2023</v>
      </c>
      <c r="I200" t="s">
        <v>1067</v>
      </c>
      <c r="J200" t="s">
        <v>1090</v>
      </c>
      <c r="K200">
        <v>4</v>
      </c>
      <c r="L200" t="s">
        <v>1054</v>
      </c>
      <c r="M200">
        <v>6</v>
      </c>
    </row>
    <row r="201" spans="1:13" x14ac:dyDescent="0.25">
      <c r="A201" t="s">
        <v>609</v>
      </c>
      <c r="B201" t="s">
        <v>18</v>
      </c>
      <c r="C201">
        <v>102</v>
      </c>
      <c r="D201" t="s">
        <v>13</v>
      </c>
      <c r="E201" s="28">
        <v>45106</v>
      </c>
      <c r="F201">
        <v>99</v>
      </c>
      <c r="G201">
        <v>3.2</v>
      </c>
      <c r="H201">
        <v>2023</v>
      </c>
      <c r="I201" t="s">
        <v>1066</v>
      </c>
      <c r="J201" t="s">
        <v>1090</v>
      </c>
      <c r="K201">
        <v>3</v>
      </c>
      <c r="L201" t="s">
        <v>1054</v>
      </c>
      <c r="M201">
        <v>6</v>
      </c>
    </row>
    <row r="202" spans="1:13" x14ac:dyDescent="0.25">
      <c r="A202" t="s">
        <v>610</v>
      </c>
      <c r="B202" t="s">
        <v>14</v>
      </c>
      <c r="C202">
        <v>60</v>
      </c>
      <c r="D202" t="s">
        <v>13</v>
      </c>
      <c r="E202" s="28">
        <v>45107</v>
      </c>
      <c r="F202">
        <v>66</v>
      </c>
      <c r="G202">
        <v>3.2</v>
      </c>
      <c r="H202">
        <v>2023</v>
      </c>
      <c r="I202" t="s">
        <v>1062</v>
      </c>
      <c r="J202" t="s">
        <v>1091</v>
      </c>
      <c r="K202">
        <v>3</v>
      </c>
      <c r="L202" t="s">
        <v>1054</v>
      </c>
      <c r="M202">
        <v>6</v>
      </c>
    </row>
    <row r="203" spans="1:13" x14ac:dyDescent="0.25">
      <c r="A203" t="s">
        <v>618</v>
      </c>
      <c r="B203" t="s">
        <v>14</v>
      </c>
      <c r="C203">
        <v>110</v>
      </c>
      <c r="D203" t="s">
        <v>9</v>
      </c>
      <c r="E203" s="28">
        <v>45109</v>
      </c>
      <c r="F203">
        <v>104</v>
      </c>
      <c r="G203">
        <v>4.4000000000000004</v>
      </c>
      <c r="H203">
        <v>2024</v>
      </c>
      <c r="I203" t="s">
        <v>1065</v>
      </c>
      <c r="J203" t="s">
        <v>1090</v>
      </c>
      <c r="K203">
        <v>4</v>
      </c>
      <c r="L203" t="s">
        <v>1055</v>
      </c>
      <c r="M203">
        <v>7</v>
      </c>
    </row>
    <row r="204" spans="1:13" x14ac:dyDescent="0.25">
      <c r="A204" t="s">
        <v>620</v>
      </c>
      <c r="B204" t="s">
        <v>18</v>
      </c>
      <c r="C204">
        <v>109</v>
      </c>
      <c r="D204" t="s">
        <v>6</v>
      </c>
      <c r="E204" s="28">
        <v>45111</v>
      </c>
      <c r="F204">
        <v>140</v>
      </c>
      <c r="G204">
        <v>2.4</v>
      </c>
      <c r="H204">
        <v>2024</v>
      </c>
      <c r="I204" t="s">
        <v>1067</v>
      </c>
      <c r="J204" t="s">
        <v>1090</v>
      </c>
      <c r="K204">
        <v>2</v>
      </c>
      <c r="L204" t="s">
        <v>1055</v>
      </c>
      <c r="M204">
        <v>7</v>
      </c>
    </row>
    <row r="205" spans="1:13" x14ac:dyDescent="0.25">
      <c r="A205" t="s">
        <v>622</v>
      </c>
      <c r="B205" t="s">
        <v>18</v>
      </c>
      <c r="C205">
        <v>68</v>
      </c>
      <c r="D205" t="s">
        <v>13</v>
      </c>
      <c r="E205" s="28">
        <v>45112</v>
      </c>
      <c r="F205">
        <v>41</v>
      </c>
      <c r="G205">
        <v>3.1</v>
      </c>
      <c r="H205">
        <v>2024</v>
      </c>
      <c r="I205" t="s">
        <v>1068</v>
      </c>
      <c r="J205" t="s">
        <v>1090</v>
      </c>
      <c r="K205">
        <v>3</v>
      </c>
      <c r="L205" t="s">
        <v>1055</v>
      </c>
      <c r="M205">
        <v>7</v>
      </c>
    </row>
    <row r="206" spans="1:13" x14ac:dyDescent="0.25">
      <c r="A206" t="s">
        <v>629</v>
      </c>
      <c r="B206" t="s">
        <v>15</v>
      </c>
      <c r="C206">
        <v>49</v>
      </c>
      <c r="D206" t="s">
        <v>11</v>
      </c>
      <c r="E206" s="28">
        <v>45115</v>
      </c>
      <c r="F206">
        <v>39</v>
      </c>
      <c r="G206">
        <v>4.5999999999999996</v>
      </c>
      <c r="H206">
        <v>2024</v>
      </c>
      <c r="I206" t="s">
        <v>1064</v>
      </c>
      <c r="J206" t="s">
        <v>1091</v>
      </c>
      <c r="K206">
        <v>5</v>
      </c>
      <c r="L206" t="s">
        <v>1055</v>
      </c>
      <c r="M206">
        <v>7</v>
      </c>
    </row>
    <row r="207" spans="1:13" x14ac:dyDescent="0.25">
      <c r="A207" t="s">
        <v>635</v>
      </c>
      <c r="B207" t="s">
        <v>19</v>
      </c>
      <c r="C207">
        <v>52</v>
      </c>
      <c r="D207" t="s">
        <v>6</v>
      </c>
      <c r="E207" s="28">
        <v>45117</v>
      </c>
      <c r="F207">
        <v>190</v>
      </c>
      <c r="G207">
        <v>3.3</v>
      </c>
      <c r="H207">
        <v>2024</v>
      </c>
      <c r="I207" t="s">
        <v>1063</v>
      </c>
      <c r="J207" t="s">
        <v>1091</v>
      </c>
      <c r="K207">
        <v>3</v>
      </c>
      <c r="L207" t="s">
        <v>1055</v>
      </c>
      <c r="M207">
        <v>7</v>
      </c>
    </row>
    <row r="208" spans="1:13" x14ac:dyDescent="0.25">
      <c r="A208" t="s">
        <v>637</v>
      </c>
      <c r="B208" t="s">
        <v>5</v>
      </c>
      <c r="C208">
        <v>131</v>
      </c>
      <c r="D208" t="s">
        <v>9</v>
      </c>
      <c r="E208" s="28">
        <v>45118</v>
      </c>
      <c r="F208">
        <v>76</v>
      </c>
      <c r="G208">
        <v>4.5</v>
      </c>
      <c r="H208">
        <v>2024</v>
      </c>
      <c r="I208" t="s">
        <v>1067</v>
      </c>
      <c r="J208" t="s">
        <v>1092</v>
      </c>
      <c r="K208">
        <v>5</v>
      </c>
      <c r="L208" t="s">
        <v>1055</v>
      </c>
      <c r="M208">
        <v>7</v>
      </c>
    </row>
    <row r="209" spans="1:13" x14ac:dyDescent="0.25">
      <c r="A209" t="s">
        <v>639</v>
      </c>
      <c r="B209" t="s">
        <v>14</v>
      </c>
      <c r="C209">
        <v>45</v>
      </c>
      <c r="D209" t="s">
        <v>6</v>
      </c>
      <c r="E209" s="28">
        <v>45119</v>
      </c>
      <c r="F209">
        <v>84</v>
      </c>
      <c r="G209">
        <v>4.8</v>
      </c>
      <c r="H209">
        <v>2024</v>
      </c>
      <c r="I209" t="s">
        <v>1068</v>
      </c>
      <c r="J209" t="s">
        <v>1091</v>
      </c>
      <c r="K209">
        <v>5</v>
      </c>
      <c r="L209" t="s">
        <v>1055</v>
      </c>
      <c r="M209">
        <v>7</v>
      </c>
    </row>
    <row r="210" spans="1:13" x14ac:dyDescent="0.25">
      <c r="A210" t="s">
        <v>642</v>
      </c>
      <c r="B210" t="s">
        <v>5</v>
      </c>
      <c r="C210">
        <v>33</v>
      </c>
      <c r="D210" t="s">
        <v>11</v>
      </c>
      <c r="E210" s="28">
        <v>45120</v>
      </c>
      <c r="F210">
        <v>27</v>
      </c>
      <c r="G210">
        <v>3.7</v>
      </c>
      <c r="H210">
        <v>2024</v>
      </c>
      <c r="I210" t="s">
        <v>1066</v>
      </c>
      <c r="J210" t="s">
        <v>1091</v>
      </c>
      <c r="K210">
        <v>4</v>
      </c>
      <c r="L210" t="s">
        <v>1055</v>
      </c>
      <c r="M210">
        <v>7</v>
      </c>
    </row>
    <row r="211" spans="1:13" x14ac:dyDescent="0.25">
      <c r="A211" t="s">
        <v>644</v>
      </c>
      <c r="B211" t="s">
        <v>14</v>
      </c>
      <c r="C211">
        <v>168</v>
      </c>
      <c r="D211" t="s">
        <v>11</v>
      </c>
      <c r="E211" s="28">
        <v>45121</v>
      </c>
      <c r="F211">
        <v>72</v>
      </c>
      <c r="G211">
        <v>3.5</v>
      </c>
      <c r="H211">
        <v>2024</v>
      </c>
      <c r="I211" t="s">
        <v>1062</v>
      </c>
      <c r="J211" t="s">
        <v>1092</v>
      </c>
      <c r="K211">
        <v>4</v>
      </c>
      <c r="L211" t="s">
        <v>1055</v>
      </c>
      <c r="M211">
        <v>7</v>
      </c>
    </row>
    <row r="212" spans="1:13" x14ac:dyDescent="0.25">
      <c r="A212" t="s">
        <v>653</v>
      </c>
      <c r="B212" t="s">
        <v>5</v>
      </c>
      <c r="C212">
        <v>109</v>
      </c>
      <c r="D212" t="s">
        <v>10</v>
      </c>
      <c r="E212" s="28">
        <v>45126</v>
      </c>
      <c r="F212">
        <v>132</v>
      </c>
      <c r="G212">
        <v>3.1</v>
      </c>
      <c r="H212">
        <v>2024</v>
      </c>
      <c r="I212" t="s">
        <v>1068</v>
      </c>
      <c r="J212" t="s">
        <v>1090</v>
      </c>
      <c r="K212">
        <v>3</v>
      </c>
      <c r="L212" t="s">
        <v>1055</v>
      </c>
      <c r="M212">
        <v>7</v>
      </c>
    </row>
    <row r="213" spans="1:13" x14ac:dyDescent="0.25">
      <c r="A213" t="s">
        <v>663</v>
      </c>
      <c r="B213" t="s">
        <v>19</v>
      </c>
      <c r="C213">
        <v>10</v>
      </c>
      <c r="D213" t="s">
        <v>6</v>
      </c>
      <c r="E213" s="28">
        <v>45133</v>
      </c>
      <c r="F213">
        <v>72</v>
      </c>
      <c r="G213">
        <v>3.7</v>
      </c>
      <c r="H213">
        <v>2024</v>
      </c>
      <c r="I213" t="s">
        <v>1068</v>
      </c>
      <c r="J213" t="s">
        <v>1093</v>
      </c>
      <c r="K213">
        <v>4</v>
      </c>
      <c r="L213" t="s">
        <v>1055</v>
      </c>
      <c r="M213">
        <v>7</v>
      </c>
    </row>
    <row r="214" spans="1:13" x14ac:dyDescent="0.25">
      <c r="A214" t="s">
        <v>674</v>
      </c>
      <c r="B214" t="s">
        <v>5</v>
      </c>
      <c r="C214">
        <v>164</v>
      </c>
      <c r="D214" t="s">
        <v>10</v>
      </c>
      <c r="E214" s="28">
        <v>45138</v>
      </c>
      <c r="F214">
        <v>36</v>
      </c>
      <c r="G214">
        <v>4.7</v>
      </c>
      <c r="H214">
        <v>2024</v>
      </c>
      <c r="I214" t="s">
        <v>1063</v>
      </c>
      <c r="J214" t="s">
        <v>1092</v>
      </c>
      <c r="K214">
        <v>5</v>
      </c>
      <c r="L214" t="s">
        <v>1055</v>
      </c>
      <c r="M214">
        <v>7</v>
      </c>
    </row>
    <row r="215" spans="1:13" x14ac:dyDescent="0.25">
      <c r="A215" t="s">
        <v>676</v>
      </c>
      <c r="B215" t="s">
        <v>15</v>
      </c>
      <c r="C215">
        <v>71</v>
      </c>
      <c r="D215" t="s">
        <v>10</v>
      </c>
      <c r="E215" s="28">
        <v>45140</v>
      </c>
      <c r="F215">
        <v>170</v>
      </c>
      <c r="G215">
        <v>3.5</v>
      </c>
      <c r="H215">
        <v>2024</v>
      </c>
      <c r="I215" t="s">
        <v>1068</v>
      </c>
      <c r="J215" t="s">
        <v>1090</v>
      </c>
      <c r="K215">
        <v>4</v>
      </c>
      <c r="L215" t="s">
        <v>1056</v>
      </c>
      <c r="M215">
        <v>8</v>
      </c>
    </row>
    <row r="216" spans="1:13" x14ac:dyDescent="0.25">
      <c r="A216" t="s">
        <v>680</v>
      </c>
      <c r="B216" t="s">
        <v>18</v>
      </c>
      <c r="C216">
        <v>97</v>
      </c>
      <c r="D216" t="s">
        <v>9</v>
      </c>
      <c r="E216" s="28">
        <v>45142</v>
      </c>
      <c r="F216">
        <v>105</v>
      </c>
      <c r="G216">
        <v>2.9</v>
      </c>
      <c r="H216">
        <v>2024</v>
      </c>
      <c r="I216" t="s">
        <v>1062</v>
      </c>
      <c r="J216" t="s">
        <v>1090</v>
      </c>
      <c r="K216">
        <v>3</v>
      </c>
      <c r="L216" t="s">
        <v>1056</v>
      </c>
      <c r="M216">
        <v>8</v>
      </c>
    </row>
    <row r="217" spans="1:13" x14ac:dyDescent="0.25">
      <c r="A217" t="s">
        <v>681</v>
      </c>
      <c r="B217" t="s">
        <v>14</v>
      </c>
      <c r="C217">
        <v>144</v>
      </c>
      <c r="D217" t="s">
        <v>13</v>
      </c>
      <c r="E217" s="28">
        <v>45142</v>
      </c>
      <c r="F217">
        <v>195</v>
      </c>
      <c r="G217">
        <v>3.4</v>
      </c>
      <c r="H217">
        <v>2024</v>
      </c>
      <c r="I217" t="s">
        <v>1062</v>
      </c>
      <c r="J217" t="s">
        <v>1092</v>
      </c>
      <c r="K217">
        <v>3</v>
      </c>
      <c r="L217" t="s">
        <v>1056</v>
      </c>
      <c r="M217">
        <v>8</v>
      </c>
    </row>
    <row r="218" spans="1:13" x14ac:dyDescent="0.25">
      <c r="A218" t="s">
        <v>683</v>
      </c>
      <c r="B218" t="s">
        <v>14</v>
      </c>
      <c r="C218">
        <v>132</v>
      </c>
      <c r="D218" t="s">
        <v>13</v>
      </c>
      <c r="E218" s="28">
        <v>45144</v>
      </c>
      <c r="F218">
        <v>195</v>
      </c>
      <c r="G218">
        <v>4.9000000000000004</v>
      </c>
      <c r="H218">
        <v>2024</v>
      </c>
      <c r="I218" t="s">
        <v>1065</v>
      </c>
      <c r="J218" t="s">
        <v>1092</v>
      </c>
      <c r="K218">
        <v>5</v>
      </c>
      <c r="L218" t="s">
        <v>1056</v>
      </c>
      <c r="M218">
        <v>8</v>
      </c>
    </row>
    <row r="219" spans="1:13" x14ac:dyDescent="0.25">
      <c r="A219" t="s">
        <v>684</v>
      </c>
      <c r="B219" t="s">
        <v>15</v>
      </c>
      <c r="C219">
        <v>72</v>
      </c>
      <c r="D219" t="s">
        <v>11</v>
      </c>
      <c r="E219" s="28">
        <v>45144</v>
      </c>
      <c r="F219">
        <v>70</v>
      </c>
      <c r="G219">
        <v>3.6</v>
      </c>
      <c r="H219">
        <v>2024</v>
      </c>
      <c r="I219" t="s">
        <v>1065</v>
      </c>
      <c r="J219" t="s">
        <v>1090</v>
      </c>
      <c r="K219">
        <v>4</v>
      </c>
      <c r="L219" t="s">
        <v>1056</v>
      </c>
      <c r="M219">
        <v>8</v>
      </c>
    </row>
    <row r="220" spans="1:13" x14ac:dyDescent="0.25">
      <c r="A220" t="s">
        <v>689</v>
      </c>
      <c r="B220" t="s">
        <v>19</v>
      </c>
      <c r="C220">
        <v>120</v>
      </c>
      <c r="D220" t="s">
        <v>10</v>
      </c>
      <c r="E220" s="28">
        <v>45148</v>
      </c>
      <c r="F220">
        <v>58</v>
      </c>
      <c r="G220">
        <v>4.5999999999999996</v>
      </c>
      <c r="H220">
        <v>2024</v>
      </c>
      <c r="I220" t="s">
        <v>1066</v>
      </c>
      <c r="J220" t="s">
        <v>1090</v>
      </c>
      <c r="K220">
        <v>5</v>
      </c>
      <c r="L220" t="s">
        <v>1056</v>
      </c>
      <c r="M220">
        <v>8</v>
      </c>
    </row>
    <row r="221" spans="1:13" x14ac:dyDescent="0.25">
      <c r="A221" t="s">
        <v>690</v>
      </c>
      <c r="B221" t="s">
        <v>18</v>
      </c>
      <c r="C221">
        <v>75</v>
      </c>
      <c r="D221" t="s">
        <v>6</v>
      </c>
      <c r="E221" s="28">
        <v>45148</v>
      </c>
      <c r="F221">
        <v>220</v>
      </c>
      <c r="G221">
        <v>4.7</v>
      </c>
      <c r="H221">
        <v>2024</v>
      </c>
      <c r="I221" t="s">
        <v>1066</v>
      </c>
      <c r="J221" t="s">
        <v>1090</v>
      </c>
      <c r="K221">
        <v>5</v>
      </c>
      <c r="L221" t="s">
        <v>1056</v>
      </c>
      <c r="M221">
        <v>8</v>
      </c>
    </row>
    <row r="222" spans="1:13" x14ac:dyDescent="0.25">
      <c r="A222" t="s">
        <v>692</v>
      </c>
      <c r="B222" t="s">
        <v>14</v>
      </c>
      <c r="C222">
        <v>74</v>
      </c>
      <c r="D222" t="s">
        <v>6</v>
      </c>
      <c r="E222" s="28">
        <v>45150</v>
      </c>
      <c r="F222">
        <v>26</v>
      </c>
      <c r="G222">
        <v>4.3</v>
      </c>
      <c r="H222">
        <v>2024</v>
      </c>
      <c r="I222" t="s">
        <v>1064</v>
      </c>
      <c r="J222" t="s">
        <v>1090</v>
      </c>
      <c r="K222">
        <v>4</v>
      </c>
      <c r="L222" t="s">
        <v>1056</v>
      </c>
      <c r="M222">
        <v>8</v>
      </c>
    </row>
    <row r="223" spans="1:13" x14ac:dyDescent="0.25">
      <c r="A223" t="s">
        <v>697</v>
      </c>
      <c r="B223" t="s">
        <v>18</v>
      </c>
      <c r="C223">
        <v>89</v>
      </c>
      <c r="D223" t="s">
        <v>13</v>
      </c>
      <c r="E223" s="28">
        <v>45156</v>
      </c>
      <c r="F223">
        <v>164</v>
      </c>
      <c r="G223">
        <v>4.5</v>
      </c>
      <c r="H223">
        <v>2024</v>
      </c>
      <c r="I223" t="s">
        <v>1062</v>
      </c>
      <c r="J223" t="s">
        <v>1090</v>
      </c>
      <c r="K223">
        <v>5</v>
      </c>
      <c r="L223" t="s">
        <v>1056</v>
      </c>
      <c r="M223">
        <v>8</v>
      </c>
    </row>
    <row r="224" spans="1:13" x14ac:dyDescent="0.25">
      <c r="A224" t="s">
        <v>699</v>
      </c>
      <c r="B224" t="s">
        <v>18</v>
      </c>
      <c r="C224">
        <v>66</v>
      </c>
      <c r="D224" t="s">
        <v>13</v>
      </c>
      <c r="E224" s="28">
        <v>45157</v>
      </c>
      <c r="F224">
        <v>120</v>
      </c>
      <c r="G224">
        <v>4.5</v>
      </c>
      <c r="H224">
        <v>2024</v>
      </c>
      <c r="I224" t="s">
        <v>1064</v>
      </c>
      <c r="J224" t="s">
        <v>1090</v>
      </c>
      <c r="K224">
        <v>5</v>
      </c>
      <c r="L224" t="s">
        <v>1056</v>
      </c>
      <c r="M224">
        <v>8</v>
      </c>
    </row>
    <row r="225" spans="1:13" x14ac:dyDescent="0.25">
      <c r="A225" t="s">
        <v>700</v>
      </c>
      <c r="B225" t="s">
        <v>15</v>
      </c>
      <c r="C225">
        <v>61</v>
      </c>
      <c r="D225" t="s">
        <v>11</v>
      </c>
      <c r="E225" s="28">
        <v>45157</v>
      </c>
      <c r="F225">
        <v>93</v>
      </c>
      <c r="G225">
        <v>2.7</v>
      </c>
      <c r="H225">
        <v>2024</v>
      </c>
      <c r="I225" t="s">
        <v>1064</v>
      </c>
      <c r="J225" t="s">
        <v>1090</v>
      </c>
      <c r="K225">
        <v>3</v>
      </c>
      <c r="L225" t="s">
        <v>1056</v>
      </c>
      <c r="M225">
        <v>8</v>
      </c>
    </row>
    <row r="226" spans="1:13" x14ac:dyDescent="0.25">
      <c r="A226" t="s">
        <v>703</v>
      </c>
      <c r="B226" t="s">
        <v>5</v>
      </c>
      <c r="C226">
        <v>63</v>
      </c>
      <c r="D226" t="s">
        <v>11</v>
      </c>
      <c r="E226" s="28">
        <v>45158</v>
      </c>
      <c r="F226">
        <v>29</v>
      </c>
      <c r="G226">
        <v>4.7</v>
      </c>
      <c r="H226">
        <v>2024</v>
      </c>
      <c r="I226" t="s">
        <v>1065</v>
      </c>
      <c r="J226" t="s">
        <v>1090</v>
      </c>
      <c r="K226">
        <v>5</v>
      </c>
      <c r="L226" t="s">
        <v>1056</v>
      </c>
      <c r="M226">
        <v>8</v>
      </c>
    </row>
    <row r="227" spans="1:13" x14ac:dyDescent="0.25">
      <c r="A227" t="s">
        <v>710</v>
      </c>
      <c r="B227" t="s">
        <v>15</v>
      </c>
      <c r="C227">
        <v>146</v>
      </c>
      <c r="D227" t="s">
        <v>11</v>
      </c>
      <c r="E227" s="28">
        <v>45162</v>
      </c>
      <c r="F227">
        <v>160</v>
      </c>
      <c r="G227">
        <v>4.0999999999999996</v>
      </c>
      <c r="H227">
        <v>2024</v>
      </c>
      <c r="I227" t="s">
        <v>1066</v>
      </c>
      <c r="J227" t="s">
        <v>1092</v>
      </c>
      <c r="K227">
        <v>4</v>
      </c>
      <c r="L227" t="s">
        <v>1056</v>
      </c>
      <c r="M227">
        <v>8</v>
      </c>
    </row>
    <row r="228" spans="1:13" x14ac:dyDescent="0.25">
      <c r="A228" t="s">
        <v>715</v>
      </c>
      <c r="B228" t="s">
        <v>15</v>
      </c>
      <c r="C228">
        <v>104</v>
      </c>
      <c r="D228" t="s">
        <v>13</v>
      </c>
      <c r="E228" s="28">
        <v>45164</v>
      </c>
      <c r="F228">
        <v>66</v>
      </c>
      <c r="G228">
        <v>4.8</v>
      </c>
      <c r="H228">
        <v>2024</v>
      </c>
      <c r="I228" t="s">
        <v>1064</v>
      </c>
      <c r="J228" t="s">
        <v>1090</v>
      </c>
      <c r="K228">
        <v>5</v>
      </c>
      <c r="L228" t="s">
        <v>1056</v>
      </c>
      <c r="M228">
        <v>8</v>
      </c>
    </row>
    <row r="229" spans="1:13" x14ac:dyDescent="0.25">
      <c r="A229" t="s">
        <v>717</v>
      </c>
      <c r="B229" t="s">
        <v>19</v>
      </c>
      <c r="C229">
        <v>80</v>
      </c>
      <c r="D229" t="s">
        <v>6</v>
      </c>
      <c r="E229" s="28">
        <v>45165</v>
      </c>
      <c r="F229">
        <v>104</v>
      </c>
      <c r="G229">
        <v>4.7</v>
      </c>
      <c r="H229">
        <v>2024</v>
      </c>
      <c r="I229" t="s">
        <v>1065</v>
      </c>
      <c r="J229" t="s">
        <v>1090</v>
      </c>
      <c r="K229">
        <v>5</v>
      </c>
      <c r="L229" t="s">
        <v>1056</v>
      </c>
      <c r="M229">
        <v>8</v>
      </c>
    </row>
    <row r="230" spans="1:13" x14ac:dyDescent="0.25">
      <c r="A230" t="s">
        <v>720</v>
      </c>
      <c r="B230" t="s">
        <v>15</v>
      </c>
      <c r="C230">
        <v>117</v>
      </c>
      <c r="D230" t="s">
        <v>6</v>
      </c>
      <c r="E230" s="28">
        <v>45165</v>
      </c>
      <c r="F230">
        <v>90</v>
      </c>
      <c r="G230">
        <v>4.0999999999999996</v>
      </c>
      <c r="H230">
        <v>2024</v>
      </c>
      <c r="I230" t="s">
        <v>1065</v>
      </c>
      <c r="J230" t="s">
        <v>1090</v>
      </c>
      <c r="K230">
        <v>4</v>
      </c>
      <c r="L230" t="s">
        <v>1056</v>
      </c>
      <c r="M230">
        <v>8</v>
      </c>
    </row>
    <row r="231" spans="1:13" x14ac:dyDescent="0.25">
      <c r="A231" t="s">
        <v>726</v>
      </c>
      <c r="B231" t="s">
        <v>14</v>
      </c>
      <c r="C231">
        <v>124</v>
      </c>
      <c r="D231" t="s">
        <v>10</v>
      </c>
      <c r="E231" s="28">
        <v>45170</v>
      </c>
      <c r="F231">
        <v>132</v>
      </c>
      <c r="G231">
        <v>4</v>
      </c>
      <c r="H231">
        <v>2024</v>
      </c>
      <c r="I231" t="s">
        <v>1062</v>
      </c>
      <c r="J231" t="s">
        <v>1092</v>
      </c>
      <c r="K231">
        <v>4</v>
      </c>
      <c r="L231" t="s">
        <v>1057</v>
      </c>
      <c r="M231">
        <v>9</v>
      </c>
    </row>
    <row r="232" spans="1:13" x14ac:dyDescent="0.25">
      <c r="A232" t="s">
        <v>728</v>
      </c>
      <c r="B232" t="s">
        <v>18</v>
      </c>
      <c r="C232">
        <v>96</v>
      </c>
      <c r="D232" t="s">
        <v>13</v>
      </c>
      <c r="E232" s="28">
        <v>45170</v>
      </c>
      <c r="F232">
        <v>36</v>
      </c>
      <c r="G232">
        <v>3.4</v>
      </c>
      <c r="H232">
        <v>2024</v>
      </c>
      <c r="I232" t="s">
        <v>1062</v>
      </c>
      <c r="J232" t="s">
        <v>1090</v>
      </c>
      <c r="K232">
        <v>3</v>
      </c>
      <c r="L232" t="s">
        <v>1057</v>
      </c>
      <c r="M232">
        <v>9</v>
      </c>
    </row>
    <row r="233" spans="1:13" x14ac:dyDescent="0.25">
      <c r="A233" t="s">
        <v>736</v>
      </c>
      <c r="B233" t="s">
        <v>15</v>
      </c>
      <c r="C233">
        <v>52</v>
      </c>
      <c r="D233" t="s">
        <v>13</v>
      </c>
      <c r="E233" s="28">
        <v>45175</v>
      </c>
      <c r="F233">
        <v>88</v>
      </c>
      <c r="G233">
        <v>4.3</v>
      </c>
      <c r="H233">
        <v>2024</v>
      </c>
      <c r="I233" t="s">
        <v>1068</v>
      </c>
      <c r="J233" t="s">
        <v>1091</v>
      </c>
      <c r="K233">
        <v>4</v>
      </c>
      <c r="L233" t="s">
        <v>1057</v>
      </c>
      <c r="M233">
        <v>9</v>
      </c>
    </row>
    <row r="234" spans="1:13" x14ac:dyDescent="0.25">
      <c r="A234" t="s">
        <v>748</v>
      </c>
      <c r="B234" t="s">
        <v>19</v>
      </c>
      <c r="C234">
        <v>124</v>
      </c>
      <c r="D234" t="s">
        <v>10</v>
      </c>
      <c r="E234" s="28">
        <v>45179</v>
      </c>
      <c r="F234">
        <v>46</v>
      </c>
      <c r="G234">
        <v>3.1</v>
      </c>
      <c r="H234">
        <v>2024</v>
      </c>
      <c r="I234" t="s">
        <v>1065</v>
      </c>
      <c r="J234" t="s">
        <v>1092</v>
      </c>
      <c r="K234">
        <v>3</v>
      </c>
      <c r="L234" t="s">
        <v>1057</v>
      </c>
      <c r="M234">
        <v>9</v>
      </c>
    </row>
    <row r="235" spans="1:13" x14ac:dyDescent="0.25">
      <c r="A235" t="s">
        <v>750</v>
      </c>
      <c r="B235" t="s">
        <v>18</v>
      </c>
      <c r="C235">
        <v>107</v>
      </c>
      <c r="D235" t="s">
        <v>9</v>
      </c>
      <c r="E235" s="28">
        <v>45179</v>
      </c>
      <c r="F235">
        <v>38</v>
      </c>
      <c r="G235">
        <v>4.7</v>
      </c>
      <c r="H235">
        <v>2024</v>
      </c>
      <c r="I235" t="s">
        <v>1065</v>
      </c>
      <c r="J235" t="s">
        <v>1090</v>
      </c>
      <c r="K235">
        <v>5</v>
      </c>
      <c r="L235" t="s">
        <v>1057</v>
      </c>
      <c r="M235">
        <v>9</v>
      </c>
    </row>
    <row r="236" spans="1:13" x14ac:dyDescent="0.25">
      <c r="A236" t="s">
        <v>752</v>
      </c>
      <c r="B236" t="s">
        <v>14</v>
      </c>
      <c r="C236">
        <v>66</v>
      </c>
      <c r="D236" t="s">
        <v>9</v>
      </c>
      <c r="E236" s="28">
        <v>45181</v>
      </c>
      <c r="F236">
        <v>32</v>
      </c>
      <c r="G236">
        <v>3.8</v>
      </c>
      <c r="H236">
        <v>2024</v>
      </c>
      <c r="I236" t="s">
        <v>1067</v>
      </c>
      <c r="J236" t="s">
        <v>1090</v>
      </c>
      <c r="K236">
        <v>4</v>
      </c>
      <c r="L236" t="s">
        <v>1057</v>
      </c>
      <c r="M236">
        <v>9</v>
      </c>
    </row>
    <row r="237" spans="1:13" x14ac:dyDescent="0.25">
      <c r="A237" t="s">
        <v>754</v>
      </c>
      <c r="B237" t="s">
        <v>18</v>
      </c>
      <c r="C237">
        <v>8</v>
      </c>
      <c r="D237" t="s">
        <v>9</v>
      </c>
      <c r="E237" s="28">
        <v>45181</v>
      </c>
      <c r="F237">
        <v>31</v>
      </c>
      <c r="G237">
        <v>3.9</v>
      </c>
      <c r="H237">
        <v>2024</v>
      </c>
      <c r="I237" t="s">
        <v>1067</v>
      </c>
      <c r="J237" t="s">
        <v>1093</v>
      </c>
      <c r="K237">
        <v>4</v>
      </c>
      <c r="L237" t="s">
        <v>1057</v>
      </c>
      <c r="M237">
        <v>9</v>
      </c>
    </row>
    <row r="238" spans="1:13" x14ac:dyDescent="0.25">
      <c r="A238" t="s">
        <v>757</v>
      </c>
      <c r="B238" t="s">
        <v>14</v>
      </c>
      <c r="C238">
        <v>50</v>
      </c>
      <c r="D238" t="s">
        <v>11</v>
      </c>
      <c r="E238" s="28">
        <v>45183</v>
      </c>
      <c r="F238">
        <v>124</v>
      </c>
      <c r="G238">
        <v>4</v>
      </c>
      <c r="H238">
        <v>2024</v>
      </c>
      <c r="I238" t="s">
        <v>1066</v>
      </c>
      <c r="J238" t="s">
        <v>1091</v>
      </c>
      <c r="K238">
        <v>4</v>
      </c>
      <c r="L238" t="s">
        <v>1057</v>
      </c>
      <c r="M238">
        <v>9</v>
      </c>
    </row>
    <row r="239" spans="1:13" x14ac:dyDescent="0.25">
      <c r="A239" t="s">
        <v>758</v>
      </c>
      <c r="B239" t="s">
        <v>15</v>
      </c>
      <c r="C239">
        <v>78</v>
      </c>
      <c r="D239" t="s">
        <v>11</v>
      </c>
      <c r="E239" s="28">
        <v>45183</v>
      </c>
      <c r="F239">
        <v>23</v>
      </c>
      <c r="G239">
        <v>4.2</v>
      </c>
      <c r="H239">
        <v>2024</v>
      </c>
      <c r="I239" t="s">
        <v>1066</v>
      </c>
      <c r="J239" t="s">
        <v>1090</v>
      </c>
      <c r="K239">
        <v>4</v>
      </c>
      <c r="L239" t="s">
        <v>1057</v>
      </c>
      <c r="M239">
        <v>9</v>
      </c>
    </row>
    <row r="240" spans="1:13" x14ac:dyDescent="0.25">
      <c r="A240" t="s">
        <v>760</v>
      </c>
      <c r="B240" t="s">
        <v>15</v>
      </c>
      <c r="C240">
        <v>126</v>
      </c>
      <c r="D240" t="s">
        <v>9</v>
      </c>
      <c r="E240" s="28">
        <v>45185</v>
      </c>
      <c r="F240">
        <v>52</v>
      </c>
      <c r="G240">
        <v>1.1000000000000001</v>
      </c>
      <c r="H240">
        <v>2024</v>
      </c>
      <c r="I240" t="s">
        <v>1064</v>
      </c>
      <c r="J240" t="s">
        <v>1092</v>
      </c>
      <c r="K240">
        <v>1</v>
      </c>
      <c r="L240" t="s">
        <v>1057</v>
      </c>
      <c r="M240">
        <v>9</v>
      </c>
    </row>
    <row r="241" spans="1:13" x14ac:dyDescent="0.25">
      <c r="A241" t="s">
        <v>765</v>
      </c>
      <c r="B241" t="s">
        <v>18</v>
      </c>
      <c r="C241">
        <v>108</v>
      </c>
      <c r="D241" t="s">
        <v>10</v>
      </c>
      <c r="E241" s="28">
        <v>45190</v>
      </c>
      <c r="F241">
        <v>180</v>
      </c>
      <c r="G241">
        <v>4</v>
      </c>
      <c r="H241">
        <v>2024</v>
      </c>
      <c r="I241" t="s">
        <v>1066</v>
      </c>
      <c r="J241" t="s">
        <v>1090</v>
      </c>
      <c r="K241">
        <v>4</v>
      </c>
      <c r="L241" t="s">
        <v>1057</v>
      </c>
      <c r="M241">
        <v>9</v>
      </c>
    </row>
    <row r="242" spans="1:13" x14ac:dyDescent="0.25">
      <c r="A242" t="s">
        <v>769</v>
      </c>
      <c r="B242" t="s">
        <v>18</v>
      </c>
      <c r="C242">
        <v>120</v>
      </c>
      <c r="D242" t="s">
        <v>10</v>
      </c>
      <c r="E242" s="28">
        <v>45191</v>
      </c>
      <c r="F242">
        <v>38</v>
      </c>
      <c r="G242">
        <v>4.2</v>
      </c>
      <c r="H242">
        <v>2024</v>
      </c>
      <c r="I242" t="s">
        <v>1062</v>
      </c>
      <c r="J242" t="s">
        <v>1090</v>
      </c>
      <c r="K242">
        <v>4</v>
      </c>
      <c r="L242" t="s">
        <v>1057</v>
      </c>
      <c r="M242">
        <v>9</v>
      </c>
    </row>
    <row r="243" spans="1:13" x14ac:dyDescent="0.25">
      <c r="A243" t="s">
        <v>771</v>
      </c>
      <c r="B243" t="s">
        <v>15</v>
      </c>
      <c r="C243">
        <v>79</v>
      </c>
      <c r="D243" t="s">
        <v>10</v>
      </c>
      <c r="E243" s="28">
        <v>45192</v>
      </c>
      <c r="F243">
        <v>215</v>
      </c>
      <c r="G243">
        <v>4.5999999999999996</v>
      </c>
      <c r="H243">
        <v>2024</v>
      </c>
      <c r="I243" t="s">
        <v>1064</v>
      </c>
      <c r="J243" t="s">
        <v>1090</v>
      </c>
      <c r="K243">
        <v>5</v>
      </c>
      <c r="L243" t="s">
        <v>1057</v>
      </c>
      <c r="M243">
        <v>9</v>
      </c>
    </row>
    <row r="244" spans="1:13" x14ac:dyDescent="0.25">
      <c r="A244" t="s">
        <v>772</v>
      </c>
      <c r="B244" t="s">
        <v>15</v>
      </c>
      <c r="C244">
        <v>45</v>
      </c>
      <c r="D244" t="s">
        <v>11</v>
      </c>
      <c r="E244" s="28">
        <v>45192</v>
      </c>
      <c r="F244">
        <v>92</v>
      </c>
      <c r="G244">
        <v>4.3</v>
      </c>
      <c r="H244">
        <v>2024</v>
      </c>
      <c r="I244" t="s">
        <v>1064</v>
      </c>
      <c r="J244" t="s">
        <v>1091</v>
      </c>
      <c r="K244">
        <v>4</v>
      </c>
      <c r="L244" t="s">
        <v>1057</v>
      </c>
      <c r="M244">
        <v>9</v>
      </c>
    </row>
    <row r="245" spans="1:13" x14ac:dyDescent="0.25">
      <c r="A245" t="s">
        <v>776</v>
      </c>
      <c r="B245" t="s">
        <v>19</v>
      </c>
      <c r="C245">
        <v>159</v>
      </c>
      <c r="D245" t="s">
        <v>9</v>
      </c>
      <c r="E245" s="28">
        <v>45193</v>
      </c>
      <c r="F245">
        <v>63</v>
      </c>
      <c r="G245">
        <v>4.2</v>
      </c>
      <c r="H245">
        <v>2024</v>
      </c>
      <c r="I245" t="s">
        <v>1065</v>
      </c>
      <c r="J245" t="s">
        <v>1092</v>
      </c>
      <c r="K245">
        <v>4</v>
      </c>
      <c r="L245" t="s">
        <v>1057</v>
      </c>
      <c r="M245">
        <v>9</v>
      </c>
    </row>
    <row r="246" spans="1:13" x14ac:dyDescent="0.25">
      <c r="A246" t="s">
        <v>777</v>
      </c>
      <c r="B246" t="s">
        <v>5</v>
      </c>
      <c r="C246">
        <v>109</v>
      </c>
      <c r="D246" t="s">
        <v>6</v>
      </c>
      <c r="E246" s="28">
        <v>45193</v>
      </c>
      <c r="F246">
        <v>52</v>
      </c>
      <c r="G246">
        <v>3.9</v>
      </c>
      <c r="H246">
        <v>2024</v>
      </c>
      <c r="I246" t="s">
        <v>1065</v>
      </c>
      <c r="J246" t="s">
        <v>1090</v>
      </c>
      <c r="K246">
        <v>4</v>
      </c>
      <c r="L246" t="s">
        <v>1057</v>
      </c>
      <c r="M246">
        <v>9</v>
      </c>
    </row>
    <row r="247" spans="1:13" x14ac:dyDescent="0.25">
      <c r="A247" t="s">
        <v>778</v>
      </c>
      <c r="B247" t="s">
        <v>15</v>
      </c>
      <c r="C247">
        <v>107</v>
      </c>
      <c r="D247" t="s">
        <v>6</v>
      </c>
      <c r="E247" s="28">
        <v>45193</v>
      </c>
      <c r="F247">
        <v>60</v>
      </c>
      <c r="G247">
        <v>4.2</v>
      </c>
      <c r="H247">
        <v>2024</v>
      </c>
      <c r="I247" t="s">
        <v>1065</v>
      </c>
      <c r="J247" t="s">
        <v>1090</v>
      </c>
      <c r="K247">
        <v>4</v>
      </c>
      <c r="L247" t="s">
        <v>1057</v>
      </c>
      <c r="M247">
        <v>9</v>
      </c>
    </row>
    <row r="248" spans="1:13" x14ac:dyDescent="0.25">
      <c r="A248" t="s">
        <v>789</v>
      </c>
      <c r="B248" t="s">
        <v>19</v>
      </c>
      <c r="C248">
        <v>64</v>
      </c>
      <c r="D248" t="s">
        <v>13</v>
      </c>
      <c r="E248" s="28">
        <v>45198</v>
      </c>
      <c r="F248">
        <v>112</v>
      </c>
      <c r="G248">
        <v>2</v>
      </c>
      <c r="H248">
        <v>2024</v>
      </c>
      <c r="I248" t="s">
        <v>1062</v>
      </c>
      <c r="J248" t="s">
        <v>1090</v>
      </c>
      <c r="K248">
        <v>2</v>
      </c>
      <c r="L248" t="s">
        <v>1057</v>
      </c>
      <c r="M248">
        <v>9</v>
      </c>
    </row>
    <row r="249" spans="1:13" x14ac:dyDescent="0.25">
      <c r="A249" t="s">
        <v>791</v>
      </c>
      <c r="B249" t="s">
        <v>5</v>
      </c>
      <c r="C249">
        <v>124</v>
      </c>
      <c r="D249" t="s">
        <v>11</v>
      </c>
      <c r="E249" s="28">
        <v>45198</v>
      </c>
      <c r="F249">
        <v>48</v>
      </c>
      <c r="G249">
        <v>3.7</v>
      </c>
      <c r="H249">
        <v>2024</v>
      </c>
      <c r="I249" t="s">
        <v>1062</v>
      </c>
      <c r="J249" t="s">
        <v>1092</v>
      </c>
      <c r="K249">
        <v>4</v>
      </c>
      <c r="L249" t="s">
        <v>1057</v>
      </c>
      <c r="M249">
        <v>9</v>
      </c>
    </row>
    <row r="250" spans="1:13" x14ac:dyDescent="0.25">
      <c r="A250" t="s">
        <v>792</v>
      </c>
      <c r="B250" t="s">
        <v>19</v>
      </c>
      <c r="C250">
        <v>125</v>
      </c>
      <c r="D250" t="s">
        <v>9</v>
      </c>
      <c r="E250" s="28">
        <v>45198</v>
      </c>
      <c r="F250">
        <v>116</v>
      </c>
      <c r="G250">
        <v>4.4000000000000004</v>
      </c>
      <c r="H250">
        <v>2024</v>
      </c>
      <c r="I250" t="s">
        <v>1062</v>
      </c>
      <c r="J250" t="s">
        <v>1092</v>
      </c>
      <c r="K250">
        <v>4</v>
      </c>
      <c r="L250" t="s">
        <v>1057</v>
      </c>
      <c r="M250">
        <v>9</v>
      </c>
    </row>
    <row r="251" spans="1:13" x14ac:dyDescent="0.25">
      <c r="A251" t="s">
        <v>798</v>
      </c>
      <c r="B251" t="s">
        <v>19</v>
      </c>
      <c r="C251">
        <v>119</v>
      </c>
      <c r="D251" t="s">
        <v>10</v>
      </c>
      <c r="E251" s="28">
        <v>45199</v>
      </c>
      <c r="F251">
        <v>96</v>
      </c>
      <c r="G251">
        <v>3.1</v>
      </c>
      <c r="H251">
        <v>2024</v>
      </c>
      <c r="I251" t="s">
        <v>1064</v>
      </c>
      <c r="J251" t="s">
        <v>1090</v>
      </c>
      <c r="K251">
        <v>3</v>
      </c>
      <c r="L251" t="s">
        <v>1057</v>
      </c>
      <c r="M251">
        <v>9</v>
      </c>
    </row>
    <row r="252" spans="1:13" x14ac:dyDescent="0.25">
      <c r="A252" t="s">
        <v>799</v>
      </c>
      <c r="B252" t="s">
        <v>5</v>
      </c>
      <c r="C252">
        <v>61</v>
      </c>
      <c r="D252" t="s">
        <v>11</v>
      </c>
      <c r="E252" s="28">
        <v>45199</v>
      </c>
      <c r="F252">
        <v>117</v>
      </c>
      <c r="G252">
        <v>4.0999999999999996</v>
      </c>
      <c r="H252">
        <v>2024</v>
      </c>
      <c r="I252" t="s">
        <v>1064</v>
      </c>
      <c r="J252" t="s">
        <v>1090</v>
      </c>
      <c r="K252">
        <v>4</v>
      </c>
      <c r="L252" t="s">
        <v>1057</v>
      </c>
      <c r="M252">
        <v>9</v>
      </c>
    </row>
    <row r="253" spans="1:13" x14ac:dyDescent="0.25">
      <c r="A253" t="s">
        <v>804</v>
      </c>
      <c r="B253" t="s">
        <v>14</v>
      </c>
      <c r="C253">
        <v>78</v>
      </c>
      <c r="D253" t="s">
        <v>13</v>
      </c>
      <c r="E253" s="28">
        <v>45200</v>
      </c>
      <c r="F253">
        <v>135</v>
      </c>
      <c r="G253">
        <v>4.0999999999999996</v>
      </c>
      <c r="H253">
        <v>2024</v>
      </c>
      <c r="I253" t="s">
        <v>1065</v>
      </c>
      <c r="J253" t="s">
        <v>1090</v>
      </c>
      <c r="K253">
        <v>4</v>
      </c>
      <c r="L253" t="s">
        <v>1058</v>
      </c>
      <c r="M253">
        <v>10</v>
      </c>
    </row>
    <row r="254" spans="1:13" x14ac:dyDescent="0.25">
      <c r="A254" t="s">
        <v>805</v>
      </c>
      <c r="B254" t="s">
        <v>19</v>
      </c>
      <c r="C254">
        <v>82</v>
      </c>
      <c r="D254" t="s">
        <v>9</v>
      </c>
      <c r="E254" s="28">
        <v>45200</v>
      </c>
      <c r="F254">
        <v>99</v>
      </c>
      <c r="G254">
        <v>4.2</v>
      </c>
      <c r="H254">
        <v>2024</v>
      </c>
      <c r="I254" t="s">
        <v>1065</v>
      </c>
      <c r="J254" t="s">
        <v>1090</v>
      </c>
      <c r="K254">
        <v>4</v>
      </c>
      <c r="L254" t="s">
        <v>1058</v>
      </c>
      <c r="M254">
        <v>10</v>
      </c>
    </row>
    <row r="255" spans="1:13" x14ac:dyDescent="0.25">
      <c r="A255" t="s">
        <v>806</v>
      </c>
      <c r="B255" t="s">
        <v>18</v>
      </c>
      <c r="C255">
        <v>149</v>
      </c>
      <c r="D255" t="s">
        <v>11</v>
      </c>
      <c r="E255" s="28">
        <v>45200</v>
      </c>
      <c r="F255">
        <v>130</v>
      </c>
      <c r="G255">
        <v>3.3</v>
      </c>
      <c r="H255">
        <v>2024</v>
      </c>
      <c r="I255" t="s">
        <v>1065</v>
      </c>
      <c r="J255" t="s">
        <v>1092</v>
      </c>
      <c r="K255">
        <v>3</v>
      </c>
      <c r="L255" t="s">
        <v>1058</v>
      </c>
      <c r="M255">
        <v>10</v>
      </c>
    </row>
    <row r="256" spans="1:13" x14ac:dyDescent="0.25">
      <c r="A256" t="s">
        <v>807</v>
      </c>
      <c r="B256" t="s">
        <v>15</v>
      </c>
      <c r="C256">
        <v>56</v>
      </c>
      <c r="D256" t="s">
        <v>6</v>
      </c>
      <c r="E256" s="28">
        <v>45200</v>
      </c>
      <c r="F256">
        <v>96</v>
      </c>
      <c r="G256">
        <v>4.7</v>
      </c>
      <c r="H256">
        <v>2024</v>
      </c>
      <c r="I256" t="s">
        <v>1065</v>
      </c>
      <c r="J256" t="s">
        <v>1091</v>
      </c>
      <c r="K256">
        <v>5</v>
      </c>
      <c r="L256" t="s">
        <v>1058</v>
      </c>
      <c r="M256">
        <v>10</v>
      </c>
    </row>
    <row r="257" spans="1:13" x14ac:dyDescent="0.25">
      <c r="A257" t="s">
        <v>809</v>
      </c>
      <c r="B257" t="s">
        <v>5</v>
      </c>
      <c r="C257">
        <v>131</v>
      </c>
      <c r="D257" t="s">
        <v>10</v>
      </c>
      <c r="E257" s="28">
        <v>45200</v>
      </c>
      <c r="F257">
        <v>69</v>
      </c>
      <c r="G257">
        <v>4.7</v>
      </c>
      <c r="H257">
        <v>2024</v>
      </c>
      <c r="I257" t="s">
        <v>1065</v>
      </c>
      <c r="J257" t="s">
        <v>1092</v>
      </c>
      <c r="K257">
        <v>5</v>
      </c>
      <c r="L257" t="s">
        <v>1058</v>
      </c>
      <c r="M257">
        <v>10</v>
      </c>
    </row>
    <row r="258" spans="1:13" x14ac:dyDescent="0.25">
      <c r="A258" t="s">
        <v>810</v>
      </c>
      <c r="B258" t="s">
        <v>5</v>
      </c>
      <c r="C258">
        <v>109</v>
      </c>
      <c r="D258" t="s">
        <v>10</v>
      </c>
      <c r="E258" s="28">
        <v>45200</v>
      </c>
      <c r="F258">
        <v>44</v>
      </c>
      <c r="G258">
        <v>4.5999999999999996</v>
      </c>
      <c r="H258">
        <v>2024</v>
      </c>
      <c r="I258" t="s">
        <v>1065</v>
      </c>
      <c r="J258" t="s">
        <v>1090</v>
      </c>
      <c r="K258">
        <v>5</v>
      </c>
      <c r="L258" t="s">
        <v>1058</v>
      </c>
      <c r="M258">
        <v>10</v>
      </c>
    </row>
    <row r="259" spans="1:13" x14ac:dyDescent="0.25">
      <c r="A259" t="s">
        <v>811</v>
      </c>
      <c r="B259" t="s">
        <v>15</v>
      </c>
      <c r="C259">
        <v>142</v>
      </c>
      <c r="D259" t="s">
        <v>10</v>
      </c>
      <c r="E259" s="28">
        <v>45200</v>
      </c>
      <c r="F259">
        <v>44</v>
      </c>
      <c r="G259">
        <v>4.8</v>
      </c>
      <c r="H259">
        <v>2024</v>
      </c>
      <c r="I259" t="s">
        <v>1065</v>
      </c>
      <c r="J259" t="s">
        <v>1092</v>
      </c>
      <c r="K259">
        <v>5</v>
      </c>
      <c r="L259" t="s">
        <v>1058</v>
      </c>
      <c r="M259">
        <v>10</v>
      </c>
    </row>
    <row r="260" spans="1:13" x14ac:dyDescent="0.25">
      <c r="A260" t="s">
        <v>817</v>
      </c>
      <c r="B260" t="s">
        <v>15</v>
      </c>
      <c r="C260">
        <v>82</v>
      </c>
      <c r="D260" t="s">
        <v>9</v>
      </c>
      <c r="E260" s="28">
        <v>45202</v>
      </c>
      <c r="F260">
        <v>130</v>
      </c>
      <c r="G260">
        <v>4.4000000000000004</v>
      </c>
      <c r="H260">
        <v>2024</v>
      </c>
      <c r="I260" t="s">
        <v>1067</v>
      </c>
      <c r="J260" t="s">
        <v>1090</v>
      </c>
      <c r="K260">
        <v>4</v>
      </c>
      <c r="L260" t="s">
        <v>1058</v>
      </c>
      <c r="M260">
        <v>10</v>
      </c>
    </row>
    <row r="261" spans="1:13" x14ac:dyDescent="0.25">
      <c r="A261" t="s">
        <v>821</v>
      </c>
      <c r="B261" t="s">
        <v>14</v>
      </c>
      <c r="C261">
        <v>138</v>
      </c>
      <c r="D261" t="s">
        <v>13</v>
      </c>
      <c r="E261" s="28">
        <v>45204</v>
      </c>
      <c r="F261">
        <v>155</v>
      </c>
      <c r="G261">
        <v>2.7</v>
      </c>
      <c r="H261">
        <v>2024</v>
      </c>
      <c r="I261" t="s">
        <v>1066</v>
      </c>
      <c r="J261" t="s">
        <v>1092</v>
      </c>
      <c r="K261">
        <v>3</v>
      </c>
      <c r="L261" t="s">
        <v>1058</v>
      </c>
      <c r="M261">
        <v>10</v>
      </c>
    </row>
    <row r="262" spans="1:13" x14ac:dyDescent="0.25">
      <c r="A262" t="s">
        <v>822</v>
      </c>
      <c r="B262" t="s">
        <v>18</v>
      </c>
      <c r="C262">
        <v>88</v>
      </c>
      <c r="D262" t="s">
        <v>9</v>
      </c>
      <c r="E262" s="28">
        <v>45204</v>
      </c>
      <c r="F262">
        <v>100</v>
      </c>
      <c r="G262">
        <v>4.9000000000000004</v>
      </c>
      <c r="H262">
        <v>2024</v>
      </c>
      <c r="I262" t="s">
        <v>1066</v>
      </c>
      <c r="J262" t="s">
        <v>1090</v>
      </c>
      <c r="K262">
        <v>5</v>
      </c>
      <c r="L262" t="s">
        <v>1058</v>
      </c>
      <c r="M262">
        <v>10</v>
      </c>
    </row>
    <row r="263" spans="1:13" x14ac:dyDescent="0.25">
      <c r="A263" t="s">
        <v>827</v>
      </c>
      <c r="B263" t="s">
        <v>15</v>
      </c>
      <c r="C263">
        <v>90</v>
      </c>
      <c r="D263" t="s">
        <v>13</v>
      </c>
      <c r="E263" s="28">
        <v>45205</v>
      </c>
      <c r="F263">
        <v>84</v>
      </c>
      <c r="G263">
        <v>3.9</v>
      </c>
      <c r="H263">
        <v>2024</v>
      </c>
      <c r="I263" t="s">
        <v>1062</v>
      </c>
      <c r="J263" t="s">
        <v>1090</v>
      </c>
      <c r="K263">
        <v>4</v>
      </c>
      <c r="L263" t="s">
        <v>1058</v>
      </c>
      <c r="M263">
        <v>10</v>
      </c>
    </row>
    <row r="264" spans="1:13" x14ac:dyDescent="0.25">
      <c r="A264" t="s">
        <v>832</v>
      </c>
      <c r="B264" t="s">
        <v>15</v>
      </c>
      <c r="C264">
        <v>66</v>
      </c>
      <c r="D264" t="s">
        <v>6</v>
      </c>
      <c r="E264" s="28">
        <v>45206</v>
      </c>
      <c r="F264">
        <v>136</v>
      </c>
      <c r="G264">
        <v>4.7</v>
      </c>
      <c r="H264">
        <v>2024</v>
      </c>
      <c r="I264" t="s">
        <v>1064</v>
      </c>
      <c r="J264" t="s">
        <v>1090</v>
      </c>
      <c r="K264">
        <v>5</v>
      </c>
      <c r="L264" t="s">
        <v>1058</v>
      </c>
      <c r="M264">
        <v>10</v>
      </c>
    </row>
    <row r="265" spans="1:13" x14ac:dyDescent="0.25">
      <c r="A265" t="s">
        <v>836</v>
      </c>
      <c r="B265" t="s">
        <v>14</v>
      </c>
      <c r="C265">
        <v>94</v>
      </c>
      <c r="D265" t="s">
        <v>6</v>
      </c>
      <c r="E265" s="28">
        <v>45208</v>
      </c>
      <c r="F265">
        <v>120</v>
      </c>
      <c r="G265">
        <v>3.4</v>
      </c>
      <c r="H265">
        <v>2024</v>
      </c>
      <c r="I265" t="s">
        <v>1063</v>
      </c>
      <c r="J265" t="s">
        <v>1090</v>
      </c>
      <c r="K265">
        <v>3</v>
      </c>
      <c r="L265" t="s">
        <v>1058</v>
      </c>
      <c r="M265">
        <v>10</v>
      </c>
    </row>
    <row r="266" spans="1:13" x14ac:dyDescent="0.25">
      <c r="A266" t="s">
        <v>842</v>
      </c>
      <c r="B266" t="s">
        <v>19</v>
      </c>
      <c r="C266">
        <v>59</v>
      </c>
      <c r="D266" t="s">
        <v>6</v>
      </c>
      <c r="E266" s="28">
        <v>45209</v>
      </c>
      <c r="F266">
        <v>152</v>
      </c>
      <c r="G266">
        <v>4.8</v>
      </c>
      <c r="H266">
        <v>2024</v>
      </c>
      <c r="I266" t="s">
        <v>1067</v>
      </c>
      <c r="J266" t="s">
        <v>1091</v>
      </c>
      <c r="K266">
        <v>5</v>
      </c>
      <c r="L266" t="s">
        <v>1058</v>
      </c>
      <c r="M266">
        <v>10</v>
      </c>
    </row>
    <row r="267" spans="1:13" x14ac:dyDescent="0.25">
      <c r="A267" t="s">
        <v>843</v>
      </c>
      <c r="B267" t="s">
        <v>19</v>
      </c>
      <c r="C267">
        <v>90</v>
      </c>
      <c r="D267" t="s">
        <v>9</v>
      </c>
      <c r="E267" s="28">
        <v>45209</v>
      </c>
      <c r="F267">
        <v>48</v>
      </c>
      <c r="G267">
        <v>4.7</v>
      </c>
      <c r="H267">
        <v>2024</v>
      </c>
      <c r="I267" t="s">
        <v>1067</v>
      </c>
      <c r="J267" t="s">
        <v>1090</v>
      </c>
      <c r="K267">
        <v>5</v>
      </c>
      <c r="L267" t="s">
        <v>1058</v>
      </c>
      <c r="M267">
        <v>10</v>
      </c>
    </row>
    <row r="268" spans="1:13" x14ac:dyDescent="0.25">
      <c r="A268" t="s">
        <v>844</v>
      </c>
      <c r="B268" t="s">
        <v>18</v>
      </c>
      <c r="C268">
        <v>55</v>
      </c>
      <c r="D268" t="s">
        <v>9</v>
      </c>
      <c r="E268" s="28">
        <v>45209</v>
      </c>
      <c r="F268">
        <v>25</v>
      </c>
      <c r="G268">
        <v>4.7</v>
      </c>
      <c r="H268">
        <v>2024</v>
      </c>
      <c r="I268" t="s">
        <v>1067</v>
      </c>
      <c r="J268" t="s">
        <v>1091</v>
      </c>
      <c r="K268">
        <v>5</v>
      </c>
      <c r="L268" t="s">
        <v>1058</v>
      </c>
      <c r="M268">
        <v>10</v>
      </c>
    </row>
    <row r="269" spans="1:13" x14ac:dyDescent="0.25">
      <c r="A269" t="s">
        <v>847</v>
      </c>
      <c r="B269" t="s">
        <v>5</v>
      </c>
      <c r="C269">
        <v>69</v>
      </c>
      <c r="D269" t="s">
        <v>6</v>
      </c>
      <c r="E269" s="28">
        <v>45210</v>
      </c>
      <c r="F269">
        <v>36</v>
      </c>
      <c r="G269">
        <v>4.5</v>
      </c>
      <c r="H269">
        <v>2024</v>
      </c>
      <c r="I269" t="s">
        <v>1068</v>
      </c>
      <c r="J269" t="s">
        <v>1090</v>
      </c>
      <c r="K269">
        <v>5</v>
      </c>
      <c r="L269" t="s">
        <v>1058</v>
      </c>
      <c r="M269">
        <v>10</v>
      </c>
    </row>
    <row r="270" spans="1:13" x14ac:dyDescent="0.25">
      <c r="A270" t="s">
        <v>850</v>
      </c>
      <c r="B270" t="s">
        <v>5</v>
      </c>
      <c r="C270">
        <v>120</v>
      </c>
      <c r="D270" t="s">
        <v>10</v>
      </c>
      <c r="E270" s="28">
        <v>45211</v>
      </c>
      <c r="F270">
        <v>195</v>
      </c>
      <c r="G270">
        <v>4.3</v>
      </c>
      <c r="H270">
        <v>2024</v>
      </c>
      <c r="I270" t="s">
        <v>1066</v>
      </c>
      <c r="J270" t="s">
        <v>1090</v>
      </c>
      <c r="K270">
        <v>4</v>
      </c>
      <c r="L270" t="s">
        <v>1058</v>
      </c>
      <c r="M270">
        <v>10</v>
      </c>
    </row>
    <row r="271" spans="1:13" x14ac:dyDescent="0.25">
      <c r="A271" t="s">
        <v>852</v>
      </c>
      <c r="B271" t="s">
        <v>18</v>
      </c>
      <c r="C271">
        <v>124</v>
      </c>
      <c r="D271" t="s">
        <v>6</v>
      </c>
      <c r="E271" s="28">
        <v>45213</v>
      </c>
      <c r="F271">
        <v>29</v>
      </c>
      <c r="G271">
        <v>4.8</v>
      </c>
      <c r="H271">
        <v>2024</v>
      </c>
      <c r="I271" t="s">
        <v>1064</v>
      </c>
      <c r="J271" t="s">
        <v>1092</v>
      </c>
      <c r="K271">
        <v>5</v>
      </c>
      <c r="L271" t="s">
        <v>1058</v>
      </c>
      <c r="M271">
        <v>10</v>
      </c>
    </row>
    <row r="272" spans="1:13" x14ac:dyDescent="0.25">
      <c r="A272" t="s">
        <v>856</v>
      </c>
      <c r="B272" t="s">
        <v>15</v>
      </c>
      <c r="C272">
        <v>125</v>
      </c>
      <c r="D272" t="s">
        <v>11</v>
      </c>
      <c r="E272" s="28">
        <v>45213</v>
      </c>
      <c r="F272">
        <v>82</v>
      </c>
      <c r="G272">
        <v>4.5999999999999996</v>
      </c>
      <c r="H272">
        <v>2024</v>
      </c>
      <c r="I272" t="s">
        <v>1064</v>
      </c>
      <c r="J272" t="s">
        <v>1092</v>
      </c>
      <c r="K272">
        <v>5</v>
      </c>
      <c r="L272" t="s">
        <v>1058</v>
      </c>
      <c r="M272">
        <v>10</v>
      </c>
    </row>
    <row r="273" spans="1:13" x14ac:dyDescent="0.25">
      <c r="A273" t="s">
        <v>862</v>
      </c>
      <c r="B273" t="s">
        <v>15</v>
      </c>
      <c r="C273">
        <v>77</v>
      </c>
      <c r="D273" t="s">
        <v>9</v>
      </c>
      <c r="E273" s="28">
        <v>45214</v>
      </c>
      <c r="F273">
        <v>78</v>
      </c>
      <c r="G273">
        <v>3.9</v>
      </c>
      <c r="H273">
        <v>2024</v>
      </c>
      <c r="I273" t="s">
        <v>1065</v>
      </c>
      <c r="J273" t="s">
        <v>1090</v>
      </c>
      <c r="K273">
        <v>4</v>
      </c>
      <c r="L273" t="s">
        <v>1058</v>
      </c>
      <c r="M273">
        <v>10</v>
      </c>
    </row>
    <row r="274" spans="1:13" x14ac:dyDescent="0.25">
      <c r="A274" t="s">
        <v>864</v>
      </c>
      <c r="B274" t="s">
        <v>15</v>
      </c>
      <c r="C274">
        <v>77</v>
      </c>
      <c r="D274" t="s">
        <v>9</v>
      </c>
      <c r="E274" s="28">
        <v>45215</v>
      </c>
      <c r="F274">
        <v>176</v>
      </c>
      <c r="G274">
        <v>1.5</v>
      </c>
      <c r="H274">
        <v>2024</v>
      </c>
      <c r="I274" t="s">
        <v>1063</v>
      </c>
      <c r="J274" t="s">
        <v>1090</v>
      </c>
      <c r="K274">
        <v>2</v>
      </c>
      <c r="L274" t="s">
        <v>1058</v>
      </c>
      <c r="M274">
        <v>10</v>
      </c>
    </row>
    <row r="275" spans="1:13" x14ac:dyDescent="0.25">
      <c r="A275" t="s">
        <v>865</v>
      </c>
      <c r="B275" t="s">
        <v>19</v>
      </c>
      <c r="C275">
        <v>103</v>
      </c>
      <c r="D275" t="s">
        <v>6</v>
      </c>
      <c r="E275" s="28">
        <v>45215</v>
      </c>
      <c r="F275">
        <v>78</v>
      </c>
      <c r="G275">
        <v>3</v>
      </c>
      <c r="H275">
        <v>2024</v>
      </c>
      <c r="I275" t="s">
        <v>1063</v>
      </c>
      <c r="J275" t="s">
        <v>1090</v>
      </c>
      <c r="K275">
        <v>3</v>
      </c>
      <c r="L275" t="s">
        <v>1058</v>
      </c>
      <c r="M275">
        <v>10</v>
      </c>
    </row>
    <row r="276" spans="1:13" x14ac:dyDescent="0.25">
      <c r="A276" t="s">
        <v>866</v>
      </c>
      <c r="B276" t="s">
        <v>5</v>
      </c>
      <c r="C276">
        <v>32</v>
      </c>
      <c r="D276" t="s">
        <v>9</v>
      </c>
      <c r="E276" s="28">
        <v>45215</v>
      </c>
      <c r="F276">
        <v>42</v>
      </c>
      <c r="G276">
        <v>4.2</v>
      </c>
      <c r="H276">
        <v>2024</v>
      </c>
      <c r="I276" t="s">
        <v>1063</v>
      </c>
      <c r="J276" t="s">
        <v>1091</v>
      </c>
      <c r="K276">
        <v>4</v>
      </c>
      <c r="L276" t="s">
        <v>1058</v>
      </c>
      <c r="M276">
        <v>10</v>
      </c>
    </row>
    <row r="277" spans="1:13" x14ac:dyDescent="0.25">
      <c r="A277" t="s">
        <v>869</v>
      </c>
      <c r="B277" t="s">
        <v>15</v>
      </c>
      <c r="C277">
        <v>137</v>
      </c>
      <c r="D277" t="s">
        <v>10</v>
      </c>
      <c r="E277" s="28">
        <v>45216</v>
      </c>
      <c r="F277">
        <v>45</v>
      </c>
      <c r="G277">
        <v>4.4000000000000004</v>
      </c>
      <c r="H277">
        <v>2024</v>
      </c>
      <c r="I277" t="s">
        <v>1067</v>
      </c>
      <c r="J277" t="s">
        <v>1092</v>
      </c>
      <c r="K277">
        <v>4</v>
      </c>
      <c r="L277" t="s">
        <v>1058</v>
      </c>
      <c r="M277">
        <v>10</v>
      </c>
    </row>
    <row r="278" spans="1:13" x14ac:dyDescent="0.25">
      <c r="A278" t="s">
        <v>870</v>
      </c>
      <c r="B278" t="s">
        <v>14</v>
      </c>
      <c r="C278">
        <v>96</v>
      </c>
      <c r="D278" t="s">
        <v>6</v>
      </c>
      <c r="E278" s="28">
        <v>45216</v>
      </c>
      <c r="F278">
        <v>215</v>
      </c>
      <c r="G278">
        <v>4</v>
      </c>
      <c r="H278">
        <v>2024</v>
      </c>
      <c r="I278" t="s">
        <v>1067</v>
      </c>
      <c r="J278" t="s">
        <v>1090</v>
      </c>
      <c r="K278">
        <v>4</v>
      </c>
      <c r="L278" t="s">
        <v>1058</v>
      </c>
      <c r="M278">
        <v>10</v>
      </c>
    </row>
    <row r="279" spans="1:13" x14ac:dyDescent="0.25">
      <c r="A279" t="s">
        <v>871</v>
      </c>
      <c r="B279" t="s">
        <v>18</v>
      </c>
      <c r="C279">
        <v>155</v>
      </c>
      <c r="D279" t="s">
        <v>6</v>
      </c>
      <c r="E279" s="28">
        <v>45217</v>
      </c>
      <c r="F279">
        <v>72</v>
      </c>
      <c r="G279">
        <v>4.7</v>
      </c>
      <c r="H279">
        <v>2024</v>
      </c>
      <c r="I279" t="s">
        <v>1068</v>
      </c>
      <c r="J279" t="s">
        <v>1092</v>
      </c>
      <c r="K279">
        <v>5</v>
      </c>
      <c r="L279" t="s">
        <v>1058</v>
      </c>
      <c r="M279">
        <v>10</v>
      </c>
    </row>
    <row r="280" spans="1:13" x14ac:dyDescent="0.25">
      <c r="A280" t="s">
        <v>873</v>
      </c>
      <c r="B280" t="s">
        <v>18</v>
      </c>
      <c r="C280">
        <v>127</v>
      </c>
      <c r="D280" t="s">
        <v>6</v>
      </c>
      <c r="E280" s="28">
        <v>45217</v>
      </c>
      <c r="F280">
        <v>165</v>
      </c>
      <c r="G280">
        <v>2.5</v>
      </c>
      <c r="H280">
        <v>2024</v>
      </c>
      <c r="I280" t="s">
        <v>1068</v>
      </c>
      <c r="J280" t="s">
        <v>1092</v>
      </c>
      <c r="K280">
        <v>3</v>
      </c>
      <c r="L280" t="s">
        <v>1058</v>
      </c>
      <c r="M280">
        <v>10</v>
      </c>
    </row>
    <row r="281" spans="1:13" x14ac:dyDescent="0.25">
      <c r="A281" t="s">
        <v>878</v>
      </c>
      <c r="B281" t="s">
        <v>19</v>
      </c>
      <c r="C281">
        <v>43</v>
      </c>
      <c r="D281" t="s">
        <v>9</v>
      </c>
      <c r="E281" s="28">
        <v>45218</v>
      </c>
      <c r="F281">
        <v>84</v>
      </c>
      <c r="G281">
        <v>3.6</v>
      </c>
      <c r="H281">
        <v>2024</v>
      </c>
      <c r="I281" t="s">
        <v>1066</v>
      </c>
      <c r="J281" t="s">
        <v>1091</v>
      </c>
      <c r="K281">
        <v>4</v>
      </c>
      <c r="L281" t="s">
        <v>1058</v>
      </c>
      <c r="M281">
        <v>10</v>
      </c>
    </row>
    <row r="282" spans="1:13" x14ac:dyDescent="0.25">
      <c r="A282" t="s">
        <v>879</v>
      </c>
      <c r="B282" t="s">
        <v>14</v>
      </c>
      <c r="C282">
        <v>124</v>
      </c>
      <c r="D282" t="s">
        <v>6</v>
      </c>
      <c r="E282" s="28">
        <v>45218</v>
      </c>
      <c r="F282">
        <v>42</v>
      </c>
      <c r="G282">
        <v>3.7</v>
      </c>
      <c r="H282">
        <v>2024</v>
      </c>
      <c r="I282" t="s">
        <v>1066</v>
      </c>
      <c r="J282" t="s">
        <v>1092</v>
      </c>
      <c r="K282">
        <v>4</v>
      </c>
      <c r="L282" t="s">
        <v>1058</v>
      </c>
      <c r="M282">
        <v>10</v>
      </c>
    </row>
    <row r="283" spans="1:13" x14ac:dyDescent="0.25">
      <c r="A283" t="s">
        <v>881</v>
      </c>
      <c r="B283" t="s">
        <v>19</v>
      </c>
      <c r="C283">
        <v>126</v>
      </c>
      <c r="D283" t="s">
        <v>13</v>
      </c>
      <c r="E283" s="28">
        <v>45219</v>
      </c>
      <c r="F283">
        <v>80</v>
      </c>
      <c r="G283">
        <v>4.7</v>
      </c>
      <c r="H283">
        <v>2024</v>
      </c>
      <c r="I283" t="s">
        <v>1062</v>
      </c>
      <c r="J283" t="s">
        <v>1092</v>
      </c>
      <c r="K283">
        <v>5</v>
      </c>
      <c r="L283" t="s">
        <v>1058</v>
      </c>
      <c r="M283">
        <v>10</v>
      </c>
    </row>
    <row r="284" spans="1:13" x14ac:dyDescent="0.25">
      <c r="A284" t="s">
        <v>886</v>
      </c>
      <c r="B284" t="s">
        <v>5</v>
      </c>
      <c r="C284">
        <v>54</v>
      </c>
      <c r="D284" t="s">
        <v>13</v>
      </c>
      <c r="E284" s="28">
        <v>45221</v>
      </c>
      <c r="F284">
        <v>120</v>
      </c>
      <c r="G284">
        <v>4.7</v>
      </c>
      <c r="H284">
        <v>2024</v>
      </c>
      <c r="I284" t="s">
        <v>1065</v>
      </c>
      <c r="J284" t="s">
        <v>1091</v>
      </c>
      <c r="K284">
        <v>5</v>
      </c>
      <c r="L284" t="s">
        <v>1058</v>
      </c>
      <c r="M284">
        <v>10</v>
      </c>
    </row>
    <row r="285" spans="1:13" x14ac:dyDescent="0.25">
      <c r="A285" t="s">
        <v>888</v>
      </c>
      <c r="B285" t="s">
        <v>5</v>
      </c>
      <c r="C285">
        <v>76</v>
      </c>
      <c r="D285" t="s">
        <v>6</v>
      </c>
      <c r="E285" s="28">
        <v>45221</v>
      </c>
      <c r="F285">
        <v>80</v>
      </c>
      <c r="G285">
        <v>4.5</v>
      </c>
      <c r="H285">
        <v>2024</v>
      </c>
      <c r="I285" t="s">
        <v>1065</v>
      </c>
      <c r="J285" t="s">
        <v>1090</v>
      </c>
      <c r="K285">
        <v>5</v>
      </c>
      <c r="L285" t="s">
        <v>1058</v>
      </c>
      <c r="M285">
        <v>10</v>
      </c>
    </row>
    <row r="286" spans="1:13" x14ac:dyDescent="0.25">
      <c r="A286" t="s">
        <v>889</v>
      </c>
      <c r="B286" t="s">
        <v>5</v>
      </c>
      <c r="C286">
        <v>37</v>
      </c>
      <c r="D286" t="s">
        <v>10</v>
      </c>
      <c r="E286" s="28">
        <v>45222</v>
      </c>
      <c r="F286">
        <v>117</v>
      </c>
      <c r="G286">
        <v>4</v>
      </c>
      <c r="H286">
        <v>2024</v>
      </c>
      <c r="I286" t="s">
        <v>1063</v>
      </c>
      <c r="J286" t="s">
        <v>1091</v>
      </c>
      <c r="K286">
        <v>4</v>
      </c>
      <c r="L286" t="s">
        <v>1058</v>
      </c>
      <c r="M286">
        <v>10</v>
      </c>
    </row>
    <row r="287" spans="1:13" x14ac:dyDescent="0.25">
      <c r="A287" t="s">
        <v>899</v>
      </c>
      <c r="B287" t="s">
        <v>14</v>
      </c>
      <c r="C287">
        <v>171</v>
      </c>
      <c r="D287" t="s">
        <v>10</v>
      </c>
      <c r="E287" s="28">
        <v>45225</v>
      </c>
      <c r="F287">
        <v>84</v>
      </c>
      <c r="G287">
        <v>4.4000000000000004</v>
      </c>
      <c r="H287">
        <v>2024</v>
      </c>
      <c r="I287" t="s">
        <v>1066</v>
      </c>
      <c r="J287" t="s">
        <v>1092</v>
      </c>
      <c r="K287">
        <v>4</v>
      </c>
      <c r="L287" t="s">
        <v>1058</v>
      </c>
      <c r="M287">
        <v>10</v>
      </c>
    </row>
    <row r="288" spans="1:13" x14ac:dyDescent="0.25">
      <c r="A288" t="s">
        <v>904</v>
      </c>
      <c r="B288" t="s">
        <v>14</v>
      </c>
      <c r="C288">
        <v>143</v>
      </c>
      <c r="D288" t="s">
        <v>13</v>
      </c>
      <c r="E288" s="28">
        <v>45227</v>
      </c>
      <c r="F288">
        <v>58</v>
      </c>
      <c r="G288">
        <v>4.3</v>
      </c>
      <c r="H288">
        <v>2024</v>
      </c>
      <c r="I288" t="s">
        <v>1064</v>
      </c>
      <c r="J288" t="s">
        <v>1092</v>
      </c>
      <c r="K288">
        <v>4</v>
      </c>
      <c r="L288" t="s">
        <v>1058</v>
      </c>
      <c r="M288">
        <v>10</v>
      </c>
    </row>
    <row r="289" spans="1:13" x14ac:dyDescent="0.25">
      <c r="A289" t="s">
        <v>905</v>
      </c>
      <c r="B289" t="s">
        <v>14</v>
      </c>
      <c r="C289">
        <v>64</v>
      </c>
      <c r="D289" t="s">
        <v>11</v>
      </c>
      <c r="E289" s="28">
        <v>45227</v>
      </c>
      <c r="F289">
        <v>185</v>
      </c>
      <c r="G289">
        <v>2.2000000000000002</v>
      </c>
      <c r="H289">
        <v>2024</v>
      </c>
      <c r="I289" t="s">
        <v>1064</v>
      </c>
      <c r="J289" t="s">
        <v>1090</v>
      </c>
      <c r="K289">
        <v>2</v>
      </c>
      <c r="L289" t="s">
        <v>1058</v>
      </c>
      <c r="M289">
        <v>10</v>
      </c>
    </row>
    <row r="290" spans="1:13" x14ac:dyDescent="0.25">
      <c r="A290" t="s">
        <v>906</v>
      </c>
      <c r="B290" t="s">
        <v>14</v>
      </c>
      <c r="C290">
        <v>69</v>
      </c>
      <c r="D290" t="s">
        <v>11</v>
      </c>
      <c r="E290" s="28">
        <v>45227</v>
      </c>
      <c r="F290">
        <v>40</v>
      </c>
      <c r="G290">
        <v>4.8</v>
      </c>
      <c r="H290">
        <v>2024</v>
      </c>
      <c r="I290" t="s">
        <v>1064</v>
      </c>
      <c r="J290" t="s">
        <v>1090</v>
      </c>
      <c r="K290">
        <v>5</v>
      </c>
      <c r="L290" t="s">
        <v>1058</v>
      </c>
      <c r="M290">
        <v>10</v>
      </c>
    </row>
    <row r="291" spans="1:13" x14ac:dyDescent="0.25">
      <c r="A291" t="s">
        <v>907</v>
      </c>
      <c r="B291" t="s">
        <v>14</v>
      </c>
      <c r="C291">
        <v>18</v>
      </c>
      <c r="D291" t="s">
        <v>6</v>
      </c>
      <c r="E291" s="28">
        <v>45227</v>
      </c>
      <c r="F291">
        <v>225</v>
      </c>
      <c r="G291">
        <v>2.6</v>
      </c>
      <c r="H291">
        <v>2024</v>
      </c>
      <c r="I291" t="s">
        <v>1064</v>
      </c>
      <c r="J291" t="s">
        <v>1094</v>
      </c>
      <c r="K291">
        <v>3</v>
      </c>
      <c r="L291" t="s">
        <v>1058</v>
      </c>
      <c r="M291">
        <v>10</v>
      </c>
    </row>
    <row r="292" spans="1:13" x14ac:dyDescent="0.25">
      <c r="A292" t="s">
        <v>909</v>
      </c>
      <c r="B292" t="s">
        <v>18</v>
      </c>
      <c r="C292">
        <v>110</v>
      </c>
      <c r="D292" t="s">
        <v>9</v>
      </c>
      <c r="E292" s="28">
        <v>45228</v>
      </c>
      <c r="F292">
        <v>88</v>
      </c>
      <c r="G292">
        <v>3.4</v>
      </c>
      <c r="H292">
        <v>2024</v>
      </c>
      <c r="I292" t="s">
        <v>1065</v>
      </c>
      <c r="J292" t="s">
        <v>1090</v>
      </c>
      <c r="K292">
        <v>3</v>
      </c>
      <c r="L292" t="s">
        <v>1058</v>
      </c>
      <c r="M292">
        <v>10</v>
      </c>
    </row>
    <row r="293" spans="1:13" x14ac:dyDescent="0.25">
      <c r="A293" t="s">
        <v>911</v>
      </c>
      <c r="B293" t="s">
        <v>18</v>
      </c>
      <c r="C293">
        <v>147</v>
      </c>
      <c r="D293" t="s">
        <v>9</v>
      </c>
      <c r="E293" s="28">
        <v>45228</v>
      </c>
      <c r="F293">
        <v>68</v>
      </c>
      <c r="G293">
        <v>2.1</v>
      </c>
      <c r="H293">
        <v>2024</v>
      </c>
      <c r="I293" t="s">
        <v>1065</v>
      </c>
      <c r="J293" t="s">
        <v>1092</v>
      </c>
      <c r="K293">
        <v>2</v>
      </c>
      <c r="L293" t="s">
        <v>1058</v>
      </c>
      <c r="M293">
        <v>10</v>
      </c>
    </row>
    <row r="294" spans="1:13" x14ac:dyDescent="0.25">
      <c r="A294" t="s">
        <v>917</v>
      </c>
      <c r="B294" t="s">
        <v>5</v>
      </c>
      <c r="C294">
        <v>62</v>
      </c>
      <c r="D294" t="s">
        <v>9</v>
      </c>
      <c r="E294" s="28">
        <v>45231</v>
      </c>
      <c r="F294">
        <v>78</v>
      </c>
      <c r="G294">
        <v>3.5</v>
      </c>
      <c r="H294">
        <v>2024</v>
      </c>
      <c r="I294" t="s">
        <v>1068</v>
      </c>
      <c r="J294" t="s">
        <v>1090</v>
      </c>
      <c r="K294">
        <v>4</v>
      </c>
      <c r="L294" t="s">
        <v>1059</v>
      </c>
      <c r="M294">
        <v>11</v>
      </c>
    </row>
    <row r="295" spans="1:13" x14ac:dyDescent="0.25">
      <c r="A295" t="s">
        <v>922</v>
      </c>
      <c r="B295" t="s">
        <v>15</v>
      </c>
      <c r="C295">
        <v>52</v>
      </c>
      <c r="D295" t="s">
        <v>9</v>
      </c>
      <c r="E295" s="28">
        <v>45236</v>
      </c>
      <c r="F295">
        <v>220</v>
      </c>
      <c r="G295">
        <v>5</v>
      </c>
      <c r="H295">
        <v>2024</v>
      </c>
      <c r="I295" t="s">
        <v>1063</v>
      </c>
      <c r="J295" t="s">
        <v>1091</v>
      </c>
      <c r="K295">
        <v>5</v>
      </c>
      <c r="L295" t="s">
        <v>1059</v>
      </c>
      <c r="M295">
        <v>11</v>
      </c>
    </row>
    <row r="296" spans="1:13" x14ac:dyDescent="0.25">
      <c r="A296" t="s">
        <v>925</v>
      </c>
      <c r="B296" t="s">
        <v>19</v>
      </c>
      <c r="C296">
        <v>74</v>
      </c>
      <c r="D296" t="s">
        <v>10</v>
      </c>
      <c r="E296" s="28">
        <v>45238</v>
      </c>
      <c r="F296">
        <v>160</v>
      </c>
      <c r="G296">
        <v>2.7</v>
      </c>
      <c r="H296">
        <v>2024</v>
      </c>
      <c r="I296" t="s">
        <v>1068</v>
      </c>
      <c r="J296" t="s">
        <v>1090</v>
      </c>
      <c r="K296">
        <v>3</v>
      </c>
      <c r="L296" t="s">
        <v>1059</v>
      </c>
      <c r="M296">
        <v>11</v>
      </c>
    </row>
    <row r="297" spans="1:13" x14ac:dyDescent="0.25">
      <c r="A297" t="s">
        <v>926</v>
      </c>
      <c r="B297" t="s">
        <v>19</v>
      </c>
      <c r="C297">
        <v>30</v>
      </c>
      <c r="D297" t="s">
        <v>6</v>
      </c>
      <c r="E297" s="28">
        <v>45238</v>
      </c>
      <c r="F297">
        <v>84</v>
      </c>
      <c r="G297">
        <v>4</v>
      </c>
      <c r="H297">
        <v>2024</v>
      </c>
      <c r="I297" t="s">
        <v>1068</v>
      </c>
      <c r="J297" t="s">
        <v>1094</v>
      </c>
      <c r="K297">
        <v>4</v>
      </c>
      <c r="L297" t="s">
        <v>1059</v>
      </c>
      <c r="M297">
        <v>11</v>
      </c>
    </row>
    <row r="298" spans="1:13" x14ac:dyDescent="0.25">
      <c r="A298" t="s">
        <v>928</v>
      </c>
      <c r="B298" t="s">
        <v>19</v>
      </c>
      <c r="C298">
        <v>151</v>
      </c>
      <c r="D298" t="s">
        <v>11</v>
      </c>
      <c r="E298" s="28">
        <v>45238</v>
      </c>
      <c r="F298">
        <v>84</v>
      </c>
      <c r="G298">
        <v>4.5999999999999996</v>
      </c>
      <c r="H298">
        <v>2024</v>
      </c>
      <c r="I298" t="s">
        <v>1068</v>
      </c>
      <c r="J298" t="s">
        <v>1092</v>
      </c>
      <c r="K298">
        <v>5</v>
      </c>
      <c r="L298" t="s">
        <v>1059</v>
      </c>
      <c r="M298">
        <v>11</v>
      </c>
    </row>
    <row r="299" spans="1:13" x14ac:dyDescent="0.25">
      <c r="A299" t="s">
        <v>932</v>
      </c>
      <c r="B299" t="s">
        <v>18</v>
      </c>
      <c r="C299">
        <v>89</v>
      </c>
      <c r="D299" t="s">
        <v>13</v>
      </c>
      <c r="E299" s="28">
        <v>45240</v>
      </c>
      <c r="F299">
        <v>88</v>
      </c>
      <c r="G299">
        <v>4.9000000000000004</v>
      </c>
      <c r="H299">
        <v>2024</v>
      </c>
      <c r="I299" t="s">
        <v>1062</v>
      </c>
      <c r="J299" t="s">
        <v>1090</v>
      </c>
      <c r="K299">
        <v>5</v>
      </c>
      <c r="L299" t="s">
        <v>1059</v>
      </c>
      <c r="M299">
        <v>11</v>
      </c>
    </row>
    <row r="300" spans="1:13" x14ac:dyDescent="0.25">
      <c r="A300" t="s">
        <v>934</v>
      </c>
      <c r="B300" t="s">
        <v>19</v>
      </c>
      <c r="C300">
        <v>84</v>
      </c>
      <c r="D300" t="s">
        <v>13</v>
      </c>
      <c r="E300" s="28">
        <v>45241</v>
      </c>
      <c r="F300">
        <v>66</v>
      </c>
      <c r="G300">
        <v>4.7</v>
      </c>
      <c r="H300">
        <v>2024</v>
      </c>
      <c r="I300" t="s">
        <v>1064</v>
      </c>
      <c r="J300" t="s">
        <v>1090</v>
      </c>
      <c r="K300">
        <v>5</v>
      </c>
      <c r="L300" t="s">
        <v>1059</v>
      </c>
      <c r="M300">
        <v>11</v>
      </c>
    </row>
    <row r="301" spans="1:13" x14ac:dyDescent="0.25">
      <c r="A301" t="s">
        <v>936</v>
      </c>
      <c r="B301" t="s">
        <v>18</v>
      </c>
      <c r="C301">
        <v>146</v>
      </c>
      <c r="D301" t="s">
        <v>10</v>
      </c>
      <c r="E301" s="28">
        <v>45242</v>
      </c>
      <c r="F301">
        <v>220</v>
      </c>
      <c r="G301">
        <v>4.5</v>
      </c>
      <c r="H301">
        <v>2024</v>
      </c>
      <c r="I301" t="s">
        <v>1065</v>
      </c>
      <c r="J301" t="s">
        <v>1092</v>
      </c>
      <c r="K301">
        <v>5</v>
      </c>
      <c r="L301" t="s">
        <v>1059</v>
      </c>
      <c r="M301">
        <v>11</v>
      </c>
    </row>
    <row r="302" spans="1:13" x14ac:dyDescent="0.25">
      <c r="A302" t="s">
        <v>937</v>
      </c>
      <c r="B302" t="s">
        <v>14</v>
      </c>
      <c r="C302">
        <v>62</v>
      </c>
      <c r="D302" t="s">
        <v>6</v>
      </c>
      <c r="E302" s="28">
        <v>45243</v>
      </c>
      <c r="F302">
        <v>175</v>
      </c>
      <c r="G302">
        <v>4.4000000000000004</v>
      </c>
      <c r="H302">
        <v>2024</v>
      </c>
      <c r="I302" t="s">
        <v>1063</v>
      </c>
      <c r="J302" t="s">
        <v>1090</v>
      </c>
      <c r="K302">
        <v>4</v>
      </c>
      <c r="L302" t="s">
        <v>1059</v>
      </c>
      <c r="M302">
        <v>11</v>
      </c>
    </row>
    <row r="303" spans="1:13" x14ac:dyDescent="0.25">
      <c r="A303" t="s">
        <v>941</v>
      </c>
      <c r="B303" t="s">
        <v>18</v>
      </c>
      <c r="C303">
        <v>149</v>
      </c>
      <c r="D303" t="s">
        <v>9</v>
      </c>
      <c r="E303" s="28">
        <v>45244</v>
      </c>
      <c r="F303">
        <v>44</v>
      </c>
      <c r="G303">
        <v>2.2000000000000002</v>
      </c>
      <c r="H303">
        <v>2024</v>
      </c>
      <c r="I303" t="s">
        <v>1067</v>
      </c>
      <c r="J303" t="s">
        <v>1092</v>
      </c>
      <c r="K303">
        <v>2</v>
      </c>
      <c r="L303" t="s">
        <v>1059</v>
      </c>
      <c r="M303">
        <v>11</v>
      </c>
    </row>
    <row r="304" spans="1:13" x14ac:dyDescent="0.25">
      <c r="A304" t="s">
        <v>943</v>
      </c>
      <c r="B304" t="s">
        <v>14</v>
      </c>
      <c r="C304">
        <v>113</v>
      </c>
      <c r="D304" t="s">
        <v>9</v>
      </c>
      <c r="E304" s="28">
        <v>45245</v>
      </c>
      <c r="F304">
        <v>34</v>
      </c>
      <c r="G304">
        <v>3.9</v>
      </c>
      <c r="H304">
        <v>2024</v>
      </c>
      <c r="I304" t="s">
        <v>1068</v>
      </c>
      <c r="J304" t="s">
        <v>1090</v>
      </c>
      <c r="K304">
        <v>4</v>
      </c>
      <c r="L304" t="s">
        <v>1059</v>
      </c>
      <c r="M304">
        <v>11</v>
      </c>
    </row>
    <row r="305" spans="1:13" x14ac:dyDescent="0.25">
      <c r="A305" t="s">
        <v>948</v>
      </c>
      <c r="B305" t="s">
        <v>15</v>
      </c>
      <c r="C305">
        <v>54</v>
      </c>
      <c r="D305" t="s">
        <v>9</v>
      </c>
      <c r="E305" s="28">
        <v>45247</v>
      </c>
      <c r="F305">
        <v>35</v>
      </c>
      <c r="G305">
        <v>2.8</v>
      </c>
      <c r="H305">
        <v>2024</v>
      </c>
      <c r="I305" t="s">
        <v>1062</v>
      </c>
      <c r="J305" t="s">
        <v>1091</v>
      </c>
      <c r="K305">
        <v>3</v>
      </c>
      <c r="L305" t="s">
        <v>1059</v>
      </c>
      <c r="M305">
        <v>11</v>
      </c>
    </row>
    <row r="306" spans="1:13" x14ac:dyDescent="0.25">
      <c r="A306" t="s">
        <v>950</v>
      </c>
      <c r="B306" t="s">
        <v>18</v>
      </c>
      <c r="C306">
        <v>71</v>
      </c>
      <c r="D306" t="s">
        <v>6</v>
      </c>
      <c r="E306" s="28">
        <v>45247</v>
      </c>
      <c r="F306">
        <v>64</v>
      </c>
      <c r="G306">
        <v>3.9</v>
      </c>
      <c r="H306">
        <v>2024</v>
      </c>
      <c r="I306" t="s">
        <v>1062</v>
      </c>
      <c r="J306" t="s">
        <v>1090</v>
      </c>
      <c r="K306">
        <v>4</v>
      </c>
      <c r="L306" t="s">
        <v>1059</v>
      </c>
      <c r="M306">
        <v>11</v>
      </c>
    </row>
    <row r="307" spans="1:13" x14ac:dyDescent="0.25">
      <c r="A307" t="s">
        <v>959</v>
      </c>
      <c r="B307" t="s">
        <v>15</v>
      </c>
      <c r="C307">
        <v>99</v>
      </c>
      <c r="D307" t="s">
        <v>6</v>
      </c>
      <c r="E307" s="28">
        <v>45253</v>
      </c>
      <c r="F307">
        <v>116</v>
      </c>
      <c r="G307">
        <v>3.9</v>
      </c>
      <c r="H307">
        <v>2024</v>
      </c>
      <c r="I307" t="s">
        <v>1066</v>
      </c>
      <c r="J307" t="s">
        <v>1090</v>
      </c>
      <c r="K307">
        <v>4</v>
      </c>
      <c r="L307" t="s">
        <v>1059</v>
      </c>
      <c r="M307">
        <v>11</v>
      </c>
    </row>
    <row r="308" spans="1:13" x14ac:dyDescent="0.25">
      <c r="A308" t="s">
        <v>962</v>
      </c>
      <c r="B308" t="s">
        <v>15</v>
      </c>
      <c r="C308">
        <v>158</v>
      </c>
      <c r="D308" t="s">
        <v>13</v>
      </c>
      <c r="E308" s="28">
        <v>45254</v>
      </c>
      <c r="F308">
        <v>148</v>
      </c>
      <c r="G308">
        <v>4</v>
      </c>
      <c r="H308">
        <v>2024</v>
      </c>
      <c r="I308" t="s">
        <v>1062</v>
      </c>
      <c r="J308" t="s">
        <v>1092</v>
      </c>
      <c r="K308">
        <v>4</v>
      </c>
      <c r="L308" t="s">
        <v>1059</v>
      </c>
      <c r="M308">
        <v>11</v>
      </c>
    </row>
    <row r="309" spans="1:13" x14ac:dyDescent="0.25">
      <c r="A309" t="s">
        <v>966</v>
      </c>
      <c r="B309" t="s">
        <v>19</v>
      </c>
      <c r="C309">
        <v>96</v>
      </c>
      <c r="D309" t="s">
        <v>11</v>
      </c>
      <c r="E309" s="28">
        <v>45256</v>
      </c>
      <c r="F309">
        <v>136</v>
      </c>
      <c r="G309">
        <v>5</v>
      </c>
      <c r="H309">
        <v>2024</v>
      </c>
      <c r="I309" t="s">
        <v>1065</v>
      </c>
      <c r="J309" t="s">
        <v>1090</v>
      </c>
      <c r="K309">
        <v>5</v>
      </c>
      <c r="L309" t="s">
        <v>1059</v>
      </c>
      <c r="M309">
        <v>11</v>
      </c>
    </row>
    <row r="310" spans="1:13" x14ac:dyDescent="0.25">
      <c r="A310" t="s">
        <v>970</v>
      </c>
      <c r="B310" t="s">
        <v>18</v>
      </c>
      <c r="C310">
        <v>34</v>
      </c>
      <c r="D310" t="s">
        <v>11</v>
      </c>
      <c r="E310" s="28">
        <v>45258</v>
      </c>
      <c r="F310">
        <v>25</v>
      </c>
      <c r="G310">
        <v>4.0999999999999996</v>
      </c>
      <c r="H310">
        <v>2024</v>
      </c>
      <c r="I310" t="s">
        <v>1067</v>
      </c>
      <c r="J310" t="s">
        <v>1091</v>
      </c>
      <c r="K310">
        <v>4</v>
      </c>
      <c r="L310" t="s">
        <v>1059</v>
      </c>
      <c r="M310">
        <v>11</v>
      </c>
    </row>
    <row r="311" spans="1:13" x14ac:dyDescent="0.25">
      <c r="A311" t="s">
        <v>971</v>
      </c>
      <c r="B311" t="s">
        <v>14</v>
      </c>
      <c r="C311">
        <v>2</v>
      </c>
      <c r="D311" t="s">
        <v>6</v>
      </c>
      <c r="E311" s="28">
        <v>45259</v>
      </c>
      <c r="F311">
        <v>62</v>
      </c>
      <c r="G311">
        <v>2.8</v>
      </c>
      <c r="H311">
        <v>2024</v>
      </c>
      <c r="I311" t="s">
        <v>1068</v>
      </c>
      <c r="J311" t="s">
        <v>1093</v>
      </c>
      <c r="K311">
        <v>3</v>
      </c>
      <c r="L311" t="s">
        <v>1059</v>
      </c>
      <c r="M311">
        <v>11</v>
      </c>
    </row>
    <row r="312" spans="1:13" x14ac:dyDescent="0.25">
      <c r="A312" t="s">
        <v>976</v>
      </c>
      <c r="B312" t="s">
        <v>18</v>
      </c>
      <c r="C312">
        <v>97</v>
      </c>
      <c r="D312" t="s">
        <v>10</v>
      </c>
      <c r="E312" s="28">
        <v>45261</v>
      </c>
      <c r="F312">
        <v>114</v>
      </c>
      <c r="G312">
        <v>4.8</v>
      </c>
      <c r="H312">
        <v>2024</v>
      </c>
      <c r="I312" t="s">
        <v>1062</v>
      </c>
      <c r="J312" t="s">
        <v>1090</v>
      </c>
      <c r="K312">
        <v>5</v>
      </c>
      <c r="L312" t="s">
        <v>1060</v>
      </c>
      <c r="M312">
        <v>12</v>
      </c>
    </row>
    <row r="313" spans="1:13" x14ac:dyDescent="0.25">
      <c r="A313" t="s">
        <v>980</v>
      </c>
      <c r="B313" t="s">
        <v>14</v>
      </c>
      <c r="C313">
        <v>133</v>
      </c>
      <c r="D313" t="s">
        <v>10</v>
      </c>
      <c r="E313" s="28">
        <v>45263</v>
      </c>
      <c r="F313">
        <v>96</v>
      </c>
      <c r="G313">
        <v>4.3</v>
      </c>
      <c r="H313">
        <v>2024</v>
      </c>
      <c r="I313" t="s">
        <v>1065</v>
      </c>
      <c r="J313" t="s">
        <v>1092</v>
      </c>
      <c r="K313">
        <v>4</v>
      </c>
      <c r="L313" t="s">
        <v>1060</v>
      </c>
      <c r="M313">
        <v>12</v>
      </c>
    </row>
    <row r="314" spans="1:13" x14ac:dyDescent="0.25">
      <c r="A314" t="s">
        <v>983</v>
      </c>
      <c r="B314" t="s">
        <v>18</v>
      </c>
      <c r="C314">
        <v>38</v>
      </c>
      <c r="D314" t="s">
        <v>13</v>
      </c>
      <c r="E314" s="28">
        <v>45265</v>
      </c>
      <c r="F314">
        <v>27</v>
      </c>
      <c r="G314">
        <v>3.1</v>
      </c>
      <c r="H314">
        <v>2024</v>
      </c>
      <c r="I314" t="s">
        <v>1067</v>
      </c>
      <c r="J314" t="s">
        <v>1091</v>
      </c>
      <c r="K314">
        <v>3</v>
      </c>
      <c r="L314" t="s">
        <v>1060</v>
      </c>
      <c r="M314">
        <v>12</v>
      </c>
    </row>
    <row r="315" spans="1:13" x14ac:dyDescent="0.25">
      <c r="A315" t="s">
        <v>984</v>
      </c>
      <c r="B315" t="s">
        <v>14</v>
      </c>
      <c r="C315">
        <v>78</v>
      </c>
      <c r="D315" t="s">
        <v>13</v>
      </c>
      <c r="E315" s="28">
        <v>45267</v>
      </c>
      <c r="F315">
        <v>200</v>
      </c>
      <c r="G315">
        <v>2.4</v>
      </c>
      <c r="H315">
        <v>2024</v>
      </c>
      <c r="I315" t="s">
        <v>1066</v>
      </c>
      <c r="J315" t="s">
        <v>1090</v>
      </c>
      <c r="K315">
        <v>2</v>
      </c>
      <c r="L315" t="s">
        <v>1060</v>
      </c>
      <c r="M315">
        <v>12</v>
      </c>
    </row>
    <row r="316" spans="1:13" x14ac:dyDescent="0.25">
      <c r="A316" t="s">
        <v>985</v>
      </c>
      <c r="B316" t="s">
        <v>18</v>
      </c>
      <c r="C316">
        <v>25</v>
      </c>
      <c r="D316" t="s">
        <v>9</v>
      </c>
      <c r="E316" s="28">
        <v>45268</v>
      </c>
      <c r="F316">
        <v>93</v>
      </c>
      <c r="G316">
        <v>3.5</v>
      </c>
      <c r="H316">
        <v>2024</v>
      </c>
      <c r="I316" t="s">
        <v>1062</v>
      </c>
      <c r="J316" t="s">
        <v>1094</v>
      </c>
      <c r="K316">
        <v>4</v>
      </c>
      <c r="L316" t="s">
        <v>1060</v>
      </c>
      <c r="M316">
        <v>12</v>
      </c>
    </row>
    <row r="317" spans="1:13" x14ac:dyDescent="0.25">
      <c r="A317" t="s">
        <v>987</v>
      </c>
      <c r="B317" t="s">
        <v>18</v>
      </c>
      <c r="C317">
        <v>103</v>
      </c>
      <c r="D317" t="s">
        <v>9</v>
      </c>
      <c r="E317" s="28">
        <v>45269</v>
      </c>
      <c r="F317">
        <v>72</v>
      </c>
      <c r="G317">
        <v>3.4</v>
      </c>
      <c r="H317">
        <v>2024</v>
      </c>
      <c r="I317" t="s">
        <v>1064</v>
      </c>
      <c r="J317" t="s">
        <v>1090</v>
      </c>
      <c r="K317">
        <v>3</v>
      </c>
      <c r="L317" t="s">
        <v>1060</v>
      </c>
      <c r="M317">
        <v>12</v>
      </c>
    </row>
    <row r="318" spans="1:13" x14ac:dyDescent="0.25">
      <c r="A318" t="s">
        <v>992</v>
      </c>
      <c r="B318" t="s">
        <v>5</v>
      </c>
      <c r="C318">
        <v>127</v>
      </c>
      <c r="D318" t="s">
        <v>6</v>
      </c>
      <c r="E318" s="28">
        <v>45275</v>
      </c>
      <c r="F318">
        <v>145</v>
      </c>
      <c r="G318">
        <v>2.6</v>
      </c>
      <c r="H318">
        <v>2024</v>
      </c>
      <c r="I318" t="s">
        <v>1062</v>
      </c>
      <c r="J318" t="s">
        <v>1092</v>
      </c>
      <c r="K318">
        <v>3</v>
      </c>
      <c r="L318" t="s">
        <v>1060</v>
      </c>
      <c r="M318">
        <v>12</v>
      </c>
    </row>
    <row r="319" spans="1:13" x14ac:dyDescent="0.25">
      <c r="A319" t="s">
        <v>993</v>
      </c>
      <c r="B319" t="s">
        <v>15</v>
      </c>
      <c r="C319">
        <v>96</v>
      </c>
      <c r="D319" t="s">
        <v>13</v>
      </c>
      <c r="E319" s="28">
        <v>45275</v>
      </c>
      <c r="F319">
        <v>115</v>
      </c>
      <c r="G319">
        <v>4.9000000000000004</v>
      </c>
      <c r="H319">
        <v>2024</v>
      </c>
      <c r="I319" t="s">
        <v>1062</v>
      </c>
      <c r="J319" t="s">
        <v>1090</v>
      </c>
      <c r="K319">
        <v>5</v>
      </c>
      <c r="L319" t="s">
        <v>1060</v>
      </c>
      <c r="M319">
        <v>12</v>
      </c>
    </row>
    <row r="320" spans="1:13" x14ac:dyDescent="0.25">
      <c r="A320" t="s">
        <v>1005</v>
      </c>
      <c r="B320" t="s">
        <v>5</v>
      </c>
      <c r="C320">
        <v>158</v>
      </c>
      <c r="D320" t="s">
        <v>10</v>
      </c>
      <c r="E320" s="28">
        <v>45276</v>
      </c>
      <c r="F320">
        <v>36</v>
      </c>
      <c r="G320">
        <v>4.7</v>
      </c>
      <c r="H320">
        <v>2024</v>
      </c>
      <c r="I320" t="s">
        <v>1064</v>
      </c>
      <c r="J320" t="s">
        <v>1092</v>
      </c>
      <c r="K320">
        <v>5</v>
      </c>
      <c r="L320" t="s">
        <v>1060</v>
      </c>
      <c r="M320">
        <v>12</v>
      </c>
    </row>
    <row r="321" spans="1:13" x14ac:dyDescent="0.25">
      <c r="A321" t="s">
        <v>1008</v>
      </c>
      <c r="B321" t="s">
        <v>18</v>
      </c>
      <c r="C321">
        <v>147</v>
      </c>
      <c r="D321" t="s">
        <v>13</v>
      </c>
      <c r="E321" s="28">
        <v>45276</v>
      </c>
      <c r="F321">
        <v>76</v>
      </c>
      <c r="G321">
        <v>4.7</v>
      </c>
      <c r="H321">
        <v>2024</v>
      </c>
      <c r="I321" t="s">
        <v>1064</v>
      </c>
      <c r="J321" t="s">
        <v>1092</v>
      </c>
      <c r="K321">
        <v>5</v>
      </c>
      <c r="L321" t="s">
        <v>1060</v>
      </c>
      <c r="M321">
        <v>12</v>
      </c>
    </row>
    <row r="322" spans="1:13" x14ac:dyDescent="0.25">
      <c r="A322" t="s">
        <v>1009</v>
      </c>
      <c r="B322" t="s">
        <v>19</v>
      </c>
      <c r="C322">
        <v>126</v>
      </c>
      <c r="D322" t="s">
        <v>13</v>
      </c>
      <c r="E322" s="28">
        <v>45276</v>
      </c>
      <c r="F322">
        <v>185</v>
      </c>
      <c r="G322">
        <v>4.8</v>
      </c>
      <c r="H322">
        <v>2024</v>
      </c>
      <c r="I322" t="s">
        <v>1064</v>
      </c>
      <c r="J322" t="s">
        <v>1092</v>
      </c>
      <c r="K322">
        <v>5</v>
      </c>
      <c r="L322" t="s">
        <v>1060</v>
      </c>
      <c r="M322">
        <v>12</v>
      </c>
    </row>
    <row r="323" spans="1:13" x14ac:dyDescent="0.25">
      <c r="A323" t="s">
        <v>1011</v>
      </c>
      <c r="B323" t="s">
        <v>14</v>
      </c>
      <c r="C323">
        <v>32</v>
      </c>
      <c r="D323" t="s">
        <v>13</v>
      </c>
      <c r="E323" s="28">
        <v>45277</v>
      </c>
      <c r="F323">
        <v>148</v>
      </c>
      <c r="G323">
        <v>4</v>
      </c>
      <c r="H323">
        <v>2024</v>
      </c>
      <c r="I323" t="s">
        <v>1065</v>
      </c>
      <c r="J323" t="s">
        <v>1091</v>
      </c>
      <c r="K323">
        <v>4</v>
      </c>
      <c r="L323" t="s">
        <v>1060</v>
      </c>
      <c r="M323">
        <v>12</v>
      </c>
    </row>
    <row r="324" spans="1:13" x14ac:dyDescent="0.25">
      <c r="A324" t="s">
        <v>1015</v>
      </c>
      <c r="B324" t="s">
        <v>15</v>
      </c>
      <c r="C324">
        <v>76</v>
      </c>
      <c r="D324" t="s">
        <v>9</v>
      </c>
      <c r="E324" s="28">
        <v>45281</v>
      </c>
      <c r="F324">
        <v>82</v>
      </c>
      <c r="G324">
        <v>2.1</v>
      </c>
      <c r="H324">
        <v>2024</v>
      </c>
      <c r="I324" t="s">
        <v>1066</v>
      </c>
      <c r="J324" t="s">
        <v>1090</v>
      </c>
      <c r="K324">
        <v>2</v>
      </c>
      <c r="L324" t="s">
        <v>1060</v>
      </c>
      <c r="M324">
        <v>12</v>
      </c>
    </row>
    <row r="325" spans="1:13" x14ac:dyDescent="0.25">
      <c r="A325" t="s">
        <v>1016</v>
      </c>
      <c r="B325" t="s">
        <v>5</v>
      </c>
      <c r="C325">
        <v>89</v>
      </c>
      <c r="D325" t="s">
        <v>13</v>
      </c>
      <c r="E325" s="28">
        <v>45284</v>
      </c>
      <c r="F325">
        <v>88</v>
      </c>
      <c r="G325">
        <v>2.8</v>
      </c>
      <c r="H325">
        <v>2024</v>
      </c>
      <c r="I325" t="s">
        <v>1065</v>
      </c>
      <c r="J325" t="s">
        <v>1090</v>
      </c>
      <c r="K325">
        <v>3</v>
      </c>
      <c r="L325" t="s">
        <v>1060</v>
      </c>
      <c r="M325">
        <v>12</v>
      </c>
    </row>
    <row r="326" spans="1:13" x14ac:dyDescent="0.25">
      <c r="A326" t="s">
        <v>1019</v>
      </c>
      <c r="B326" t="s">
        <v>14</v>
      </c>
      <c r="C326">
        <v>140</v>
      </c>
      <c r="D326" t="s">
        <v>10</v>
      </c>
      <c r="E326" s="28">
        <v>45285</v>
      </c>
      <c r="F326">
        <v>105</v>
      </c>
      <c r="G326">
        <v>1.7</v>
      </c>
      <c r="H326">
        <v>2024</v>
      </c>
      <c r="I326" t="s">
        <v>1063</v>
      </c>
      <c r="J326" t="s">
        <v>1092</v>
      </c>
      <c r="K326">
        <v>2</v>
      </c>
      <c r="L326" t="s">
        <v>1060</v>
      </c>
      <c r="M326">
        <v>12</v>
      </c>
    </row>
    <row r="327" spans="1:13" x14ac:dyDescent="0.25">
      <c r="A327" t="s">
        <v>1032</v>
      </c>
      <c r="B327" t="s">
        <v>15</v>
      </c>
      <c r="C327">
        <v>127</v>
      </c>
      <c r="D327" t="s">
        <v>13</v>
      </c>
      <c r="E327" s="28">
        <v>45290</v>
      </c>
      <c r="F327">
        <v>215</v>
      </c>
      <c r="G327">
        <v>3.8</v>
      </c>
      <c r="H327">
        <v>2024</v>
      </c>
      <c r="I327" t="s">
        <v>1064</v>
      </c>
      <c r="J327" t="s">
        <v>1092</v>
      </c>
      <c r="K327">
        <v>4</v>
      </c>
      <c r="L327" t="s">
        <v>1060</v>
      </c>
      <c r="M327">
        <v>12</v>
      </c>
    </row>
    <row r="328" spans="1:13" x14ac:dyDescent="0.25">
      <c r="A328" t="s">
        <v>1033</v>
      </c>
      <c r="B328" t="s">
        <v>14</v>
      </c>
      <c r="C328">
        <v>146</v>
      </c>
      <c r="D328" t="s">
        <v>10</v>
      </c>
      <c r="E328" s="28">
        <v>45291</v>
      </c>
      <c r="F328">
        <v>115</v>
      </c>
      <c r="G328">
        <v>2.2999999999999998</v>
      </c>
      <c r="H328">
        <v>2024</v>
      </c>
      <c r="I328" t="s">
        <v>1065</v>
      </c>
      <c r="J328" t="s">
        <v>1092</v>
      </c>
      <c r="K328">
        <v>2</v>
      </c>
      <c r="L328" t="s">
        <v>1060</v>
      </c>
      <c r="M328">
        <v>12</v>
      </c>
    </row>
    <row r="329" spans="1:13" x14ac:dyDescent="0.25">
      <c r="A329" t="s">
        <v>1034</v>
      </c>
      <c r="B329" t="s">
        <v>18</v>
      </c>
      <c r="C329">
        <v>123</v>
      </c>
      <c r="D329" t="s">
        <v>10</v>
      </c>
      <c r="E329" s="28">
        <v>45291</v>
      </c>
      <c r="F329">
        <v>64</v>
      </c>
      <c r="G329">
        <v>3.7</v>
      </c>
      <c r="H329">
        <v>2024</v>
      </c>
      <c r="I329" t="s">
        <v>1065</v>
      </c>
      <c r="J329" t="s">
        <v>1092</v>
      </c>
      <c r="K329">
        <v>4</v>
      </c>
      <c r="L329" t="s">
        <v>1060</v>
      </c>
      <c r="M329">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B1BAF-5C66-4A30-94AC-92DECB104C4B}">
  <dimension ref="A3:Q75"/>
  <sheetViews>
    <sheetView topLeftCell="A46" workbookViewId="0">
      <selection activeCell="C76" sqref="C76"/>
    </sheetView>
  </sheetViews>
  <sheetFormatPr defaultRowHeight="15" x14ac:dyDescent="0.25"/>
  <cols>
    <col min="1" max="1" width="12.625" bestFit="1" customWidth="1"/>
    <col min="2" max="2" width="10" bestFit="1" customWidth="1"/>
    <col min="3" max="3" width="11" bestFit="1" customWidth="1"/>
    <col min="4" max="4" width="9.75" bestFit="1" customWidth="1"/>
    <col min="5" max="6" width="7.5" bestFit="1" customWidth="1"/>
    <col min="7" max="7" width="12.625" bestFit="1" customWidth="1"/>
    <col min="8" max="8" width="10" bestFit="1" customWidth="1"/>
    <col min="9" max="9" width="4.875" bestFit="1" customWidth="1"/>
    <col min="10" max="10" width="10.875" bestFit="1" customWidth="1"/>
    <col min="11" max="11" width="12.625" bestFit="1" customWidth="1"/>
    <col min="12" max="12" width="15.875" bestFit="1" customWidth="1"/>
    <col min="13" max="16" width="6.375" bestFit="1" customWidth="1"/>
    <col min="17" max="17" width="10.875" bestFit="1" customWidth="1"/>
  </cols>
  <sheetData>
    <row r="3" spans="1:5" x14ac:dyDescent="0.25">
      <c r="A3" t="s">
        <v>1042</v>
      </c>
      <c r="B3" t="s">
        <v>1043</v>
      </c>
      <c r="C3" t="s">
        <v>1044</v>
      </c>
      <c r="D3" t="s">
        <v>1045</v>
      </c>
      <c r="E3" t="s">
        <v>1046</v>
      </c>
    </row>
    <row r="4" spans="1:5" x14ac:dyDescent="0.25">
      <c r="A4" s="21">
        <v>1000</v>
      </c>
      <c r="B4" s="22">
        <v>96623</v>
      </c>
      <c r="C4" s="21">
        <v>89850</v>
      </c>
      <c r="D4" s="23">
        <v>3.8854000000000033</v>
      </c>
      <c r="E4" s="21">
        <v>307</v>
      </c>
    </row>
    <row r="10" spans="1:5" x14ac:dyDescent="0.25">
      <c r="A10" t="s">
        <v>1042</v>
      </c>
      <c r="B10" t="s">
        <v>1043</v>
      </c>
      <c r="C10" t="s">
        <v>1044</v>
      </c>
      <c r="D10" t="s">
        <v>1045</v>
      </c>
      <c r="E10" t="s">
        <v>1046</v>
      </c>
    </row>
    <row r="11" spans="1:5" x14ac:dyDescent="0.25">
      <c r="A11" s="21">
        <v>186</v>
      </c>
      <c r="B11" s="22">
        <v>16651</v>
      </c>
      <c r="C11" s="21">
        <v>17807</v>
      </c>
      <c r="D11" s="23">
        <v>3.8973118279569863</v>
      </c>
      <c r="E11" s="21">
        <v>62</v>
      </c>
    </row>
    <row r="18" spans="1:8" x14ac:dyDescent="0.25">
      <c r="A18" s="24" t="s">
        <v>1047</v>
      </c>
      <c r="B18" t="s">
        <v>1042</v>
      </c>
      <c r="C18" t="s">
        <v>1061</v>
      </c>
    </row>
    <row r="19" spans="1:8" x14ac:dyDescent="0.25">
      <c r="A19" s="25" t="s">
        <v>1049</v>
      </c>
      <c r="B19" s="21">
        <v>10</v>
      </c>
      <c r="C19" s="21">
        <v>10</v>
      </c>
    </row>
    <row r="20" spans="1:8" x14ac:dyDescent="0.25">
      <c r="A20" s="25" t="s">
        <v>1050</v>
      </c>
      <c r="B20" s="21">
        <v>11</v>
      </c>
      <c r="C20" s="21">
        <v>11</v>
      </c>
      <c r="G20" s="24" t="s">
        <v>1047</v>
      </c>
      <c r="H20" t="s">
        <v>1042</v>
      </c>
    </row>
    <row r="21" spans="1:8" x14ac:dyDescent="0.25">
      <c r="A21" s="25" t="s">
        <v>1051</v>
      </c>
      <c r="B21" s="21">
        <v>30</v>
      </c>
      <c r="C21" s="21">
        <v>30</v>
      </c>
      <c r="G21" s="25" t="s">
        <v>1065</v>
      </c>
      <c r="H21" s="21">
        <v>25</v>
      </c>
    </row>
    <row r="22" spans="1:8" x14ac:dyDescent="0.25">
      <c r="A22" s="25" t="s">
        <v>1052</v>
      </c>
      <c r="B22" s="21">
        <v>23</v>
      </c>
      <c r="C22" s="21">
        <v>23</v>
      </c>
      <c r="G22" s="25" t="s">
        <v>1063</v>
      </c>
      <c r="H22" s="21">
        <v>23</v>
      </c>
    </row>
    <row r="23" spans="1:8" x14ac:dyDescent="0.25">
      <c r="A23" s="25" t="s">
        <v>1053</v>
      </c>
      <c r="B23" s="21">
        <v>22</v>
      </c>
      <c r="C23" s="21">
        <v>22</v>
      </c>
      <c r="G23" s="25" t="s">
        <v>1067</v>
      </c>
      <c r="H23" s="21">
        <v>28</v>
      </c>
    </row>
    <row r="24" spans="1:8" x14ac:dyDescent="0.25">
      <c r="A24" s="25" t="s">
        <v>1054</v>
      </c>
      <c r="B24" s="21">
        <v>11</v>
      </c>
      <c r="C24" s="21">
        <v>11</v>
      </c>
      <c r="G24" s="25" t="s">
        <v>1068</v>
      </c>
      <c r="H24" s="21">
        <v>29</v>
      </c>
    </row>
    <row r="25" spans="1:8" x14ac:dyDescent="0.25">
      <c r="A25" s="25" t="s">
        <v>1055</v>
      </c>
      <c r="B25" s="21">
        <v>17</v>
      </c>
      <c r="C25" s="21">
        <v>17</v>
      </c>
      <c r="G25" s="25" t="s">
        <v>1066</v>
      </c>
      <c r="H25" s="21">
        <v>18</v>
      </c>
    </row>
    <row r="26" spans="1:8" x14ac:dyDescent="0.25">
      <c r="A26" s="25" t="s">
        <v>1056</v>
      </c>
      <c r="B26" s="21">
        <v>12</v>
      </c>
      <c r="C26" s="21">
        <v>12</v>
      </c>
      <c r="G26" s="25" t="s">
        <v>1062</v>
      </c>
      <c r="H26" s="21">
        <v>29</v>
      </c>
    </row>
    <row r="27" spans="1:8" x14ac:dyDescent="0.25">
      <c r="A27" s="25" t="s">
        <v>1057</v>
      </c>
      <c r="B27" s="21">
        <v>13</v>
      </c>
      <c r="C27" s="21">
        <v>13</v>
      </c>
      <c r="G27" s="25" t="s">
        <v>1064</v>
      </c>
      <c r="H27" s="21">
        <v>34</v>
      </c>
    </row>
    <row r="28" spans="1:8" x14ac:dyDescent="0.25">
      <c r="A28" s="25" t="s">
        <v>1058</v>
      </c>
      <c r="B28" s="21">
        <v>15</v>
      </c>
      <c r="C28" s="21">
        <v>15</v>
      </c>
      <c r="G28" s="25" t="s">
        <v>1048</v>
      </c>
      <c r="H28" s="21">
        <v>186</v>
      </c>
    </row>
    <row r="29" spans="1:8" x14ac:dyDescent="0.25">
      <c r="A29" s="25" t="s">
        <v>1059</v>
      </c>
      <c r="B29" s="21">
        <v>8</v>
      </c>
      <c r="C29" s="21">
        <v>8</v>
      </c>
    </row>
    <row r="30" spans="1:8" x14ac:dyDescent="0.25">
      <c r="A30" s="25" t="s">
        <v>1060</v>
      </c>
      <c r="B30" s="21">
        <v>14</v>
      </c>
      <c r="C30" s="21">
        <v>14</v>
      </c>
    </row>
    <row r="31" spans="1:8" x14ac:dyDescent="0.25">
      <c r="A31" s="25" t="s">
        <v>1048</v>
      </c>
      <c r="B31" s="21">
        <v>186</v>
      </c>
      <c r="C31" s="21">
        <v>186</v>
      </c>
    </row>
    <row r="33" spans="1:9" x14ac:dyDescent="0.25">
      <c r="E33" t="s">
        <v>1069</v>
      </c>
      <c r="H33" t="s">
        <v>1075</v>
      </c>
      <c r="I33" t="str">
        <f>A46</f>
        <v>R04</v>
      </c>
    </row>
    <row r="35" spans="1:9" x14ac:dyDescent="0.25">
      <c r="E35" t="s">
        <v>1070</v>
      </c>
      <c r="F35" t="s">
        <v>1071</v>
      </c>
      <c r="G35" t="s">
        <v>1072</v>
      </c>
      <c r="H35" t="s">
        <v>1073</v>
      </c>
      <c r="I35" t="s">
        <v>1074</v>
      </c>
    </row>
    <row r="36" spans="1:9" x14ac:dyDescent="0.25">
      <c r="A36" s="24" t="s">
        <v>1047</v>
      </c>
      <c r="B36" t="s">
        <v>1042</v>
      </c>
      <c r="C36" t="s">
        <v>1043</v>
      </c>
      <c r="E36" t="str" cm="1">
        <f t="array" ref="E36:G40">A37:C41</f>
        <v>R01</v>
      </c>
      <c r="F36">
        <v>189</v>
      </c>
      <c r="G36" s="26">
        <v>18415</v>
      </c>
      <c r="H36" t="e">
        <f>IF(E36=$I$33,F36,NA())</f>
        <v>#N/A</v>
      </c>
      <c r="I36" t="e">
        <f>IF(E36=$I$33, G36, NA())</f>
        <v>#N/A</v>
      </c>
    </row>
    <row r="37" spans="1:9" x14ac:dyDescent="0.25">
      <c r="A37" s="25" t="s">
        <v>11</v>
      </c>
      <c r="B37" s="21">
        <v>189</v>
      </c>
      <c r="C37" s="22">
        <v>18415</v>
      </c>
      <c r="E37" t="str">
        <v>R02</v>
      </c>
      <c r="F37">
        <v>218</v>
      </c>
      <c r="G37" s="26">
        <v>20581</v>
      </c>
      <c r="H37" t="e">
        <f t="shared" ref="H37:H40" si="0">IF(E37=$I$33,F37,NA())</f>
        <v>#N/A</v>
      </c>
      <c r="I37" t="e">
        <f t="shared" ref="I37:I40" si="1">IF(E37=$I$33, G37, NA())</f>
        <v>#N/A</v>
      </c>
    </row>
    <row r="38" spans="1:9" x14ac:dyDescent="0.25">
      <c r="A38" s="25" t="s">
        <v>9</v>
      </c>
      <c r="B38" s="21">
        <v>218</v>
      </c>
      <c r="C38" s="22">
        <v>20581</v>
      </c>
      <c r="E38" t="str">
        <v>R03</v>
      </c>
      <c r="F38">
        <v>207</v>
      </c>
      <c r="G38" s="26">
        <v>20872</v>
      </c>
      <c r="H38" t="e">
        <f t="shared" si="0"/>
        <v>#N/A</v>
      </c>
      <c r="I38" t="e">
        <f t="shared" si="1"/>
        <v>#N/A</v>
      </c>
    </row>
    <row r="39" spans="1:9" x14ac:dyDescent="0.25">
      <c r="A39" s="25" t="s">
        <v>6</v>
      </c>
      <c r="B39" s="21">
        <v>207</v>
      </c>
      <c r="C39" s="22">
        <v>20872</v>
      </c>
      <c r="E39" t="str">
        <v>R04</v>
      </c>
      <c r="F39">
        <v>186</v>
      </c>
      <c r="G39" s="26">
        <v>16651</v>
      </c>
      <c r="H39">
        <f t="shared" si="0"/>
        <v>186</v>
      </c>
      <c r="I39">
        <f t="shared" si="1"/>
        <v>16651</v>
      </c>
    </row>
    <row r="40" spans="1:9" x14ac:dyDescent="0.25">
      <c r="A40" s="25" t="s">
        <v>13</v>
      </c>
      <c r="B40" s="21">
        <v>186</v>
      </c>
      <c r="C40" s="22">
        <v>16651</v>
      </c>
      <c r="E40" t="str">
        <v>R05</v>
      </c>
      <c r="F40">
        <v>200</v>
      </c>
      <c r="G40" s="26">
        <v>20104</v>
      </c>
      <c r="H40" t="e">
        <f t="shared" si="0"/>
        <v>#N/A</v>
      </c>
      <c r="I40" t="e">
        <f t="shared" si="1"/>
        <v>#N/A</v>
      </c>
    </row>
    <row r="41" spans="1:9" x14ac:dyDescent="0.25">
      <c r="A41" s="25" t="s">
        <v>10</v>
      </c>
      <c r="B41" s="21">
        <v>200</v>
      </c>
      <c r="C41" s="22">
        <v>20104</v>
      </c>
    </row>
    <row r="42" spans="1:9" x14ac:dyDescent="0.25">
      <c r="A42" s="25" t="s">
        <v>1048</v>
      </c>
      <c r="B42" s="21">
        <v>1000</v>
      </c>
      <c r="C42" s="22">
        <v>96623</v>
      </c>
    </row>
    <row r="45" spans="1:9" x14ac:dyDescent="0.25">
      <c r="A45" s="24" t="s">
        <v>1047</v>
      </c>
    </row>
    <row r="46" spans="1:9" x14ac:dyDescent="0.25">
      <c r="A46" s="27" t="s">
        <v>13</v>
      </c>
    </row>
    <row r="51" spans="1:17" x14ac:dyDescent="0.25">
      <c r="A51" s="24" t="s">
        <v>1042</v>
      </c>
      <c r="B51" s="24" t="s">
        <v>1076</v>
      </c>
      <c r="G51" s="24" t="s">
        <v>1047</v>
      </c>
      <c r="H51" t="s">
        <v>1042</v>
      </c>
      <c r="K51" s="24" t="s">
        <v>1043</v>
      </c>
      <c r="L51" s="24" t="s">
        <v>1076</v>
      </c>
    </row>
    <row r="52" spans="1:17" x14ac:dyDescent="0.25">
      <c r="A52" s="24" t="s">
        <v>1047</v>
      </c>
      <c r="B52" t="s">
        <v>999</v>
      </c>
      <c r="C52" t="s">
        <v>998</v>
      </c>
      <c r="D52" t="s">
        <v>1048</v>
      </c>
      <c r="G52" s="25">
        <v>1</v>
      </c>
      <c r="H52" s="21">
        <v>3</v>
      </c>
      <c r="K52" s="24" t="s">
        <v>1047</v>
      </c>
      <c r="L52" t="s">
        <v>11</v>
      </c>
      <c r="M52" t="s">
        <v>9</v>
      </c>
      <c r="N52" t="s">
        <v>6</v>
      </c>
      <c r="O52" t="s">
        <v>13</v>
      </c>
      <c r="P52" t="s">
        <v>10</v>
      </c>
      <c r="Q52" t="s">
        <v>1096</v>
      </c>
    </row>
    <row r="53" spans="1:17" x14ac:dyDescent="0.25">
      <c r="A53" s="25" t="s">
        <v>1002</v>
      </c>
      <c r="B53" s="21">
        <v>144</v>
      </c>
      <c r="C53" s="21">
        <v>132</v>
      </c>
      <c r="D53" s="21">
        <v>276</v>
      </c>
      <c r="G53" s="25">
        <v>2</v>
      </c>
      <c r="H53" s="21">
        <v>10</v>
      </c>
      <c r="K53" s="25" t="s">
        <v>1002</v>
      </c>
    </row>
    <row r="54" spans="1:17" x14ac:dyDescent="0.25">
      <c r="A54" s="25" t="s">
        <v>1001</v>
      </c>
      <c r="B54" s="21">
        <v>326</v>
      </c>
      <c r="C54" s="21">
        <v>63</v>
      </c>
      <c r="D54" s="21">
        <v>389</v>
      </c>
      <c r="G54" s="25">
        <v>3</v>
      </c>
      <c r="H54" s="21">
        <v>41</v>
      </c>
      <c r="K54" s="29" t="s">
        <v>20</v>
      </c>
      <c r="L54" s="22">
        <v>891</v>
      </c>
      <c r="M54" s="22">
        <v>1332</v>
      </c>
      <c r="N54" s="22">
        <v>1282</v>
      </c>
      <c r="O54" s="22">
        <v>739</v>
      </c>
      <c r="P54" s="22">
        <v>560</v>
      </c>
      <c r="Q54" s="22">
        <v>4804</v>
      </c>
    </row>
    <row r="55" spans="1:17" x14ac:dyDescent="0.25">
      <c r="A55" s="25" t="s">
        <v>1000</v>
      </c>
      <c r="B55" s="21">
        <v>129</v>
      </c>
      <c r="C55" s="21">
        <v>206</v>
      </c>
      <c r="D55" s="21">
        <v>335</v>
      </c>
      <c r="G55" s="25">
        <v>4</v>
      </c>
      <c r="H55" s="21">
        <v>70</v>
      </c>
      <c r="K55" s="29" t="s">
        <v>12</v>
      </c>
      <c r="L55" s="22">
        <v>1991</v>
      </c>
      <c r="M55" s="22">
        <v>1886</v>
      </c>
      <c r="N55" s="22">
        <v>1206</v>
      </c>
      <c r="O55" s="22">
        <v>884</v>
      </c>
      <c r="P55" s="22">
        <v>1722</v>
      </c>
      <c r="Q55" s="22">
        <v>7689</v>
      </c>
    </row>
    <row r="56" spans="1:17" x14ac:dyDescent="0.25">
      <c r="A56" s="25" t="s">
        <v>1048</v>
      </c>
      <c r="B56" s="21">
        <v>599</v>
      </c>
      <c r="C56" s="21">
        <v>401</v>
      </c>
      <c r="D56" s="21">
        <v>1000</v>
      </c>
      <c r="G56" s="25">
        <v>5</v>
      </c>
      <c r="H56" s="21">
        <v>62</v>
      </c>
      <c r="K56" s="29" t="s">
        <v>8</v>
      </c>
      <c r="L56" s="22">
        <v>1163</v>
      </c>
      <c r="M56" s="22">
        <v>1180</v>
      </c>
      <c r="N56" s="22">
        <v>1616</v>
      </c>
      <c r="O56" s="22">
        <v>1043</v>
      </c>
      <c r="P56" s="22">
        <v>1747</v>
      </c>
      <c r="Q56" s="22">
        <v>6749</v>
      </c>
    </row>
    <row r="57" spans="1:17" x14ac:dyDescent="0.25">
      <c r="G57" s="25" t="s">
        <v>1048</v>
      </c>
      <c r="H57" s="21">
        <v>186</v>
      </c>
      <c r="K57" s="29" t="s">
        <v>16</v>
      </c>
      <c r="L57" s="22">
        <v>1438</v>
      </c>
      <c r="M57" s="22">
        <v>1616</v>
      </c>
      <c r="N57" s="22">
        <v>866</v>
      </c>
      <c r="O57" s="22">
        <v>829</v>
      </c>
      <c r="P57" s="22">
        <v>2070</v>
      </c>
      <c r="Q57" s="22">
        <v>6819</v>
      </c>
    </row>
    <row r="58" spans="1:17" x14ac:dyDescent="0.25">
      <c r="K58" s="25" t="s">
        <v>1001</v>
      </c>
    </row>
    <row r="59" spans="1:17" x14ac:dyDescent="0.25">
      <c r="K59" s="29" t="s">
        <v>24</v>
      </c>
      <c r="L59" s="22">
        <v>1233</v>
      </c>
      <c r="M59" s="22">
        <v>223</v>
      </c>
      <c r="N59" s="22">
        <v>1680</v>
      </c>
      <c r="O59" s="22">
        <v>990</v>
      </c>
      <c r="P59" s="22">
        <v>1508</v>
      </c>
      <c r="Q59" s="22">
        <v>5634</v>
      </c>
    </row>
    <row r="60" spans="1:17" x14ac:dyDescent="0.25">
      <c r="K60" s="29" t="s">
        <v>15</v>
      </c>
      <c r="L60" s="22">
        <v>1598</v>
      </c>
      <c r="M60" s="22">
        <v>1907</v>
      </c>
      <c r="N60" s="22">
        <v>869</v>
      </c>
      <c r="O60" s="22">
        <v>1426</v>
      </c>
      <c r="P60" s="22">
        <v>1416</v>
      </c>
      <c r="Q60" s="22">
        <v>7216</v>
      </c>
    </row>
    <row r="61" spans="1:17" x14ac:dyDescent="0.25">
      <c r="K61" s="29" t="s">
        <v>5</v>
      </c>
      <c r="L61" s="22">
        <v>900</v>
      </c>
      <c r="M61" s="22">
        <v>1016</v>
      </c>
      <c r="N61" s="22">
        <v>960</v>
      </c>
      <c r="O61" s="22">
        <v>940</v>
      </c>
      <c r="P61" s="22">
        <v>1193</v>
      </c>
      <c r="Q61" s="22">
        <v>5009</v>
      </c>
    </row>
    <row r="62" spans="1:17" x14ac:dyDescent="0.25">
      <c r="K62" s="29" t="s">
        <v>18</v>
      </c>
      <c r="L62" s="22">
        <v>900</v>
      </c>
      <c r="M62" s="22">
        <v>1470</v>
      </c>
      <c r="N62" s="22">
        <v>1617</v>
      </c>
      <c r="O62" s="22">
        <v>1314</v>
      </c>
      <c r="P62" s="22">
        <v>941</v>
      </c>
      <c r="Q62" s="22">
        <v>6242</v>
      </c>
    </row>
    <row r="63" spans="1:17" x14ac:dyDescent="0.25">
      <c r="K63" s="29" t="s">
        <v>14</v>
      </c>
      <c r="L63" s="22">
        <v>1255</v>
      </c>
      <c r="M63" s="22">
        <v>516</v>
      </c>
      <c r="N63" s="22">
        <v>1874</v>
      </c>
      <c r="O63" s="22">
        <v>1863</v>
      </c>
      <c r="P63" s="22">
        <v>1722</v>
      </c>
      <c r="Q63" s="22">
        <v>7230</v>
      </c>
    </row>
    <row r="64" spans="1:17" x14ac:dyDescent="0.25">
      <c r="B64" s="14" t="s">
        <v>1097</v>
      </c>
      <c r="K64" s="29" t="s">
        <v>19</v>
      </c>
      <c r="L64" s="22">
        <v>1138</v>
      </c>
      <c r="M64" s="22">
        <v>1898</v>
      </c>
      <c r="N64" s="22">
        <v>1482</v>
      </c>
      <c r="O64" s="22">
        <v>846</v>
      </c>
      <c r="P64" s="22">
        <v>1154</v>
      </c>
      <c r="Q64" s="22">
        <v>6518</v>
      </c>
    </row>
    <row r="65" spans="2:17" x14ac:dyDescent="0.25">
      <c r="B65" t="s">
        <v>1098</v>
      </c>
      <c r="C65" s="42">
        <f>A11/A4</f>
        <v>0.186</v>
      </c>
      <c r="K65" s="25" t="s">
        <v>1000</v>
      </c>
    </row>
    <row r="66" spans="2:17" x14ac:dyDescent="0.25">
      <c r="B66" t="s">
        <v>1071</v>
      </c>
      <c r="C66">
        <f>_xlfn.XLOOKUP(A46, E36:E40, F36:F40)</f>
        <v>186</v>
      </c>
      <c r="K66" s="29" t="s">
        <v>17</v>
      </c>
      <c r="L66" s="22">
        <v>1655</v>
      </c>
      <c r="M66" s="22">
        <v>805</v>
      </c>
      <c r="N66" s="22">
        <v>2263</v>
      </c>
      <c r="O66" s="22">
        <v>987</v>
      </c>
      <c r="P66" s="22">
        <v>1075</v>
      </c>
      <c r="Q66" s="22">
        <v>6785</v>
      </c>
    </row>
    <row r="67" spans="2:17" x14ac:dyDescent="0.25">
      <c r="B67" t="s">
        <v>1072</v>
      </c>
      <c r="C67">
        <f>_xlfn.XLOOKUP(A46, E36:E40, G36:G40)</f>
        <v>16651</v>
      </c>
      <c r="K67" s="29" t="s">
        <v>23</v>
      </c>
      <c r="L67" s="22">
        <v>1104</v>
      </c>
      <c r="M67" s="22">
        <v>2280</v>
      </c>
      <c r="N67" s="22">
        <v>1445</v>
      </c>
      <c r="O67" s="22">
        <v>1722</v>
      </c>
      <c r="P67" s="22">
        <v>1196</v>
      </c>
      <c r="Q67" s="22">
        <v>7747</v>
      </c>
    </row>
    <row r="68" spans="2:17" x14ac:dyDescent="0.25">
      <c r="K68" s="29" t="s">
        <v>7</v>
      </c>
      <c r="L68" s="22">
        <v>372</v>
      </c>
      <c r="M68" s="22">
        <v>1818</v>
      </c>
      <c r="N68" s="22">
        <v>1346</v>
      </c>
      <c r="O68" s="22">
        <v>1156</v>
      </c>
      <c r="P68" s="22">
        <v>1484</v>
      </c>
      <c r="Q68" s="22">
        <v>6176</v>
      </c>
    </row>
    <row r="69" spans="2:17" x14ac:dyDescent="0.25">
      <c r="B69" t="s">
        <v>1099</v>
      </c>
      <c r="C69">
        <f>_xlfn.RANK.AVG(C66, F36:F40)</f>
        <v>5</v>
      </c>
      <c r="K69" s="29" t="s">
        <v>22</v>
      </c>
      <c r="L69" s="22">
        <v>1415</v>
      </c>
      <c r="M69" s="22">
        <v>1271</v>
      </c>
      <c r="N69" s="22">
        <v>1214</v>
      </c>
      <c r="O69" s="22">
        <v>1135</v>
      </c>
      <c r="P69" s="22">
        <v>1566</v>
      </c>
      <c r="Q69" s="22">
        <v>6601</v>
      </c>
    </row>
    <row r="70" spans="2:17" x14ac:dyDescent="0.25">
      <c r="B70" t="s">
        <v>1100</v>
      </c>
      <c r="C70">
        <f>_xlfn.RANK.AVG(C67, G36:G40)</f>
        <v>5</v>
      </c>
      <c r="K70" s="29" t="s">
        <v>21</v>
      </c>
      <c r="L70" s="22">
        <v>1362</v>
      </c>
      <c r="M70" s="22">
        <v>1363</v>
      </c>
      <c r="N70" s="22">
        <v>1152</v>
      </c>
      <c r="O70" s="22">
        <v>777</v>
      </c>
      <c r="P70" s="22">
        <v>750</v>
      </c>
      <c r="Q70" s="22">
        <v>5404</v>
      </c>
    </row>
    <row r="72" spans="2:17" x14ac:dyDescent="0.25">
      <c r="B72" t="s">
        <v>1101</v>
      </c>
      <c r="C72" t="str">
        <f>"% of Calls:" &amp; " " &amp; TEXT(C65, "0%")</f>
        <v>% of Calls: 19%</v>
      </c>
    </row>
    <row r="73" spans="2:17" x14ac:dyDescent="0.25">
      <c r="C73" t="str">
        <f>IF(COUNTA(A46:A50)&gt;1, "",  "Call rank" &amp; ": " &amp; TEXT(C69, 0))</f>
        <v>Call rank: 5</v>
      </c>
    </row>
    <row r="74" spans="2:17" x14ac:dyDescent="0.25">
      <c r="C74" t="str">
        <f>IF(COUNTA(A46:A50)&gt;1, "", "Amount rank" &amp; ": " &amp; TEXT(C70, 0))</f>
        <v>Amount rank: 5</v>
      </c>
    </row>
    <row r="75" spans="2:17" x14ac:dyDescent="0.25">
      <c r="B75" t="s">
        <v>1102</v>
      </c>
      <c r="C75" t="e" vm="1">
        <f>IF(COUNTA(A46:A50)&gt; 1, "", _xlfn.XLOOKUP(Pivots!A46, Assets!E3:E7, Assets!F3:F7))</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D10" sqref="D10"/>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2B1C-E2FB-4CE9-8FA0-E96C62F26BBB}">
  <dimension ref="A1:AB37"/>
  <sheetViews>
    <sheetView tabSelected="1" zoomScaleNormal="100" workbookViewId="0">
      <selection activeCell="X25" sqref="X25"/>
    </sheetView>
  </sheetViews>
  <sheetFormatPr defaultRowHeight="15" x14ac:dyDescent="0.25"/>
  <cols>
    <col min="1" max="1" width="2.375" customWidth="1"/>
    <col min="2" max="2" width="2.5" customWidth="1"/>
  </cols>
  <sheetData>
    <row r="1" spans="1:28"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4" spans="1:28"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row>
    <row r="5" spans="1:28"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row>
    <row r="11" spans="1:28"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row>
    <row r="12" spans="1:28"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row>
    <row r="13" spans="1:28"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x14ac:dyDescent="0.25">
      <c r="A15" s="20"/>
      <c r="B15" s="20"/>
      <c r="C15" s="20"/>
      <c r="D15" s="20"/>
      <c r="E15" s="20"/>
      <c r="F15" s="20"/>
      <c r="G15" s="20"/>
      <c r="H15" s="20"/>
      <c r="I15" s="20"/>
      <c r="J15" s="20"/>
      <c r="K15" s="20"/>
      <c r="L15" s="20"/>
      <c r="M15" s="20"/>
      <c r="N15" s="20"/>
      <c r="O15" s="30"/>
      <c r="P15" s="39" t="str">
        <f>Pivots!L52</f>
        <v>R01</v>
      </c>
      <c r="Q15" s="39" t="str">
        <f>Pivots!M52</f>
        <v>R02</v>
      </c>
      <c r="R15" s="39" t="str">
        <f>Pivots!N52</f>
        <v>R03</v>
      </c>
      <c r="S15" s="39" t="str">
        <f>Pivots!O52</f>
        <v>R04</v>
      </c>
      <c r="T15" s="39" t="str">
        <f>Pivots!P52</f>
        <v>R05</v>
      </c>
      <c r="U15" s="40" t="str">
        <f>Pivots!Q52</f>
        <v>Total</v>
      </c>
      <c r="V15" s="20"/>
      <c r="W15" s="20"/>
      <c r="X15" s="20"/>
      <c r="Y15" s="20"/>
      <c r="Z15" s="20"/>
      <c r="AA15" s="20"/>
      <c r="AB15" s="20"/>
    </row>
    <row r="16" spans="1:28" x14ac:dyDescent="0.25">
      <c r="A16" s="20"/>
      <c r="B16" s="20"/>
      <c r="C16" s="20"/>
      <c r="D16" s="20"/>
      <c r="E16" s="20"/>
      <c r="F16" s="20"/>
      <c r="G16" s="20"/>
      <c r="H16" s="20"/>
      <c r="I16" s="20"/>
      <c r="J16" s="20"/>
      <c r="K16" s="20"/>
      <c r="L16" s="20"/>
      <c r="M16" s="20"/>
      <c r="N16" s="20"/>
      <c r="O16" s="41" t="str" cm="1">
        <f t="array" ref="O16:U33">IF(Pivots!K53:Q70="", "", Pivots!K53:Q70)</f>
        <v>Cincinnati</v>
      </c>
      <c r="P16" s="32" t="str">
        <v/>
      </c>
      <c r="Q16" s="32" t="str">
        <v/>
      </c>
      <c r="R16" s="32" t="str">
        <v/>
      </c>
      <c r="S16" s="32" t="str">
        <v/>
      </c>
      <c r="T16" s="32" t="str">
        <v/>
      </c>
      <c r="U16" s="33" t="str">
        <v/>
      </c>
      <c r="V16" s="20"/>
      <c r="W16" s="20"/>
      <c r="X16" s="20"/>
      <c r="Y16" s="20"/>
      <c r="Z16" s="20"/>
      <c r="AA16" s="20"/>
      <c r="AB16" s="20"/>
    </row>
    <row r="17" spans="1:28" x14ac:dyDescent="0.25">
      <c r="A17" s="20"/>
      <c r="B17" s="20"/>
      <c r="C17" s="20"/>
      <c r="D17" s="20"/>
      <c r="E17" s="20"/>
      <c r="F17" s="20"/>
      <c r="G17" s="20"/>
      <c r="H17" s="20"/>
      <c r="I17" s="20"/>
      <c r="J17" s="20"/>
      <c r="K17" s="20"/>
      <c r="L17" s="20"/>
      <c r="M17" s="20"/>
      <c r="N17" s="20"/>
      <c r="O17" s="31" t="str">
        <v>C0003</v>
      </c>
      <c r="P17" s="34">
        <v>891</v>
      </c>
      <c r="Q17" s="34">
        <v>1332</v>
      </c>
      <c r="R17" s="34">
        <v>1282</v>
      </c>
      <c r="S17" s="34">
        <v>739</v>
      </c>
      <c r="T17" s="34">
        <v>560</v>
      </c>
      <c r="U17" s="35">
        <v>4804</v>
      </c>
      <c r="V17" s="20"/>
      <c r="W17" s="20"/>
      <c r="X17" s="20"/>
      <c r="Y17" s="20"/>
      <c r="Z17" s="20"/>
      <c r="AA17" s="20"/>
      <c r="AB17" s="20"/>
    </row>
    <row r="18" spans="1:28" x14ac:dyDescent="0.25">
      <c r="A18" s="20"/>
      <c r="B18" s="20"/>
      <c r="C18" s="20"/>
      <c r="D18" s="20"/>
      <c r="E18" s="20"/>
      <c r="F18" s="20"/>
      <c r="G18" s="20"/>
      <c r="H18" s="20"/>
      <c r="I18" s="20"/>
      <c r="J18" s="20"/>
      <c r="K18" s="20"/>
      <c r="L18" s="20"/>
      <c r="M18" s="20"/>
      <c r="N18" s="20"/>
      <c r="O18" s="31" t="str">
        <v>C0004</v>
      </c>
      <c r="P18" s="34">
        <v>1991</v>
      </c>
      <c r="Q18" s="34">
        <v>1886</v>
      </c>
      <c r="R18" s="34">
        <v>1206</v>
      </c>
      <c r="S18" s="34">
        <v>884</v>
      </c>
      <c r="T18" s="34">
        <v>1722</v>
      </c>
      <c r="U18" s="35">
        <v>7689</v>
      </c>
      <c r="V18" s="20"/>
      <c r="W18" s="20"/>
      <c r="X18" s="20"/>
      <c r="Y18" s="20"/>
      <c r="Z18" s="20"/>
      <c r="AA18" s="20"/>
      <c r="AB18" s="20"/>
    </row>
    <row r="19" spans="1:28" x14ac:dyDescent="0.25">
      <c r="A19" s="20"/>
      <c r="B19" s="20"/>
      <c r="C19" s="20"/>
      <c r="D19" s="20"/>
      <c r="E19" s="20"/>
      <c r="F19" s="20"/>
      <c r="G19" s="20"/>
      <c r="H19" s="20"/>
      <c r="I19" s="20"/>
      <c r="J19" s="20"/>
      <c r="K19" s="20"/>
      <c r="L19" s="20"/>
      <c r="M19" s="20"/>
      <c r="N19" s="20"/>
      <c r="O19" s="31" t="str">
        <v>C0011</v>
      </c>
      <c r="P19" s="34">
        <v>1163</v>
      </c>
      <c r="Q19" s="34">
        <v>1180</v>
      </c>
      <c r="R19" s="34">
        <v>1616</v>
      </c>
      <c r="S19" s="34">
        <v>1043</v>
      </c>
      <c r="T19" s="34">
        <v>1747</v>
      </c>
      <c r="U19" s="35">
        <v>6749</v>
      </c>
      <c r="V19" s="20"/>
      <c r="W19" s="20"/>
      <c r="X19" s="20"/>
      <c r="Y19" s="20"/>
      <c r="Z19" s="20"/>
      <c r="AA19" s="20"/>
      <c r="AB19" s="20"/>
    </row>
    <row r="20" spans="1:28" x14ac:dyDescent="0.25">
      <c r="A20" s="20"/>
      <c r="B20" s="20"/>
      <c r="C20" s="20"/>
      <c r="D20" s="20"/>
      <c r="E20" s="20"/>
      <c r="F20" s="20"/>
      <c r="G20" s="20"/>
      <c r="H20" s="20"/>
      <c r="I20" s="20"/>
      <c r="J20" s="20"/>
      <c r="K20" s="20"/>
      <c r="L20" s="20"/>
      <c r="M20" s="20"/>
      <c r="N20" s="20"/>
      <c r="O20" s="31" t="str">
        <v>C0012</v>
      </c>
      <c r="P20" s="34">
        <v>1438</v>
      </c>
      <c r="Q20" s="34">
        <v>1616</v>
      </c>
      <c r="R20" s="34">
        <v>866</v>
      </c>
      <c r="S20" s="34">
        <v>829</v>
      </c>
      <c r="T20" s="34">
        <v>2070</v>
      </c>
      <c r="U20" s="35">
        <v>6819</v>
      </c>
      <c r="V20" s="20"/>
      <c r="W20" s="20"/>
      <c r="X20" s="20"/>
      <c r="Y20" s="20"/>
      <c r="Z20" s="20"/>
      <c r="AA20" s="20"/>
      <c r="AB20" s="20"/>
    </row>
    <row r="21" spans="1:28" x14ac:dyDescent="0.25">
      <c r="A21" s="20"/>
      <c r="B21" s="20"/>
      <c r="C21" s="20"/>
      <c r="D21" s="20"/>
      <c r="E21" s="20"/>
      <c r="F21" s="20"/>
      <c r="G21" s="20"/>
      <c r="H21" s="20"/>
      <c r="I21" s="20"/>
      <c r="J21" s="20"/>
      <c r="K21" s="20"/>
      <c r="L21" s="20"/>
      <c r="M21" s="20"/>
      <c r="N21" s="20"/>
      <c r="O21" s="41" t="str">
        <v>Cleveland</v>
      </c>
      <c r="P21" s="34" t="str">
        <v/>
      </c>
      <c r="Q21" s="34" t="str">
        <v/>
      </c>
      <c r="R21" s="34" t="str">
        <v/>
      </c>
      <c r="S21" s="34" t="str">
        <v/>
      </c>
      <c r="T21" s="34" t="str">
        <v/>
      </c>
      <c r="U21" s="35" t="str">
        <v/>
      </c>
      <c r="V21" s="20"/>
      <c r="W21" s="20"/>
      <c r="X21" s="20"/>
      <c r="Y21" s="20"/>
      <c r="Z21" s="20"/>
      <c r="AA21" s="20"/>
      <c r="AB21" s="20"/>
    </row>
    <row r="22" spans="1:28" x14ac:dyDescent="0.25">
      <c r="A22" s="20"/>
      <c r="B22" s="20"/>
      <c r="C22" s="20"/>
      <c r="D22" s="20"/>
      <c r="E22" s="20"/>
      <c r="F22" s="20"/>
      <c r="G22" s="20"/>
      <c r="H22" s="20"/>
      <c r="I22" s="20"/>
      <c r="J22" s="20"/>
      <c r="K22" s="20"/>
      <c r="L22" s="20"/>
      <c r="M22" s="20"/>
      <c r="N22" s="20"/>
      <c r="O22" s="31" t="str">
        <v>C0002</v>
      </c>
      <c r="P22" s="34">
        <v>1233</v>
      </c>
      <c r="Q22" s="34">
        <v>223</v>
      </c>
      <c r="R22" s="34">
        <v>1680</v>
      </c>
      <c r="S22" s="34">
        <v>990</v>
      </c>
      <c r="T22" s="34">
        <v>1508</v>
      </c>
      <c r="U22" s="35">
        <v>5634</v>
      </c>
      <c r="V22" s="20"/>
      <c r="W22" s="20"/>
      <c r="X22" s="20"/>
      <c r="Y22" s="20"/>
      <c r="Z22" s="20"/>
      <c r="AA22" s="20"/>
      <c r="AB22" s="20"/>
    </row>
    <row r="23" spans="1:28" x14ac:dyDescent="0.25">
      <c r="A23" s="20"/>
      <c r="B23" s="20"/>
      <c r="C23" s="20"/>
      <c r="D23" s="20"/>
      <c r="E23" s="20"/>
      <c r="F23" s="20"/>
      <c r="G23" s="20"/>
      <c r="H23" s="20"/>
      <c r="I23" s="20"/>
      <c r="J23" s="20"/>
      <c r="K23" s="20"/>
      <c r="L23" s="20"/>
      <c r="M23" s="20"/>
      <c r="N23" s="20"/>
      <c r="O23" s="31" t="str">
        <v>C0007</v>
      </c>
      <c r="P23" s="34">
        <v>1598</v>
      </c>
      <c r="Q23" s="34">
        <v>1907</v>
      </c>
      <c r="R23" s="34">
        <v>869</v>
      </c>
      <c r="S23" s="34">
        <v>1426</v>
      </c>
      <c r="T23" s="34">
        <v>1416</v>
      </c>
      <c r="U23" s="35">
        <v>7216</v>
      </c>
      <c r="V23" s="20"/>
      <c r="W23" s="20"/>
      <c r="X23" s="20"/>
      <c r="Y23" s="20"/>
      <c r="Z23" s="20"/>
      <c r="AA23" s="20"/>
      <c r="AB23" s="20"/>
    </row>
    <row r="24" spans="1:28" x14ac:dyDescent="0.25">
      <c r="A24" s="20"/>
      <c r="B24" s="20"/>
      <c r="C24" s="20"/>
      <c r="D24" s="20"/>
      <c r="E24" s="20"/>
      <c r="F24" s="20"/>
      <c r="G24" s="20"/>
      <c r="H24" s="20"/>
      <c r="I24" s="20"/>
      <c r="J24" s="20"/>
      <c r="K24" s="20"/>
      <c r="L24" s="20"/>
      <c r="M24" s="20"/>
      <c r="N24" s="20"/>
      <c r="O24" s="31" t="str">
        <v>C0008</v>
      </c>
      <c r="P24" s="34">
        <v>900</v>
      </c>
      <c r="Q24" s="34">
        <v>1016</v>
      </c>
      <c r="R24" s="34">
        <v>960</v>
      </c>
      <c r="S24" s="34">
        <v>940</v>
      </c>
      <c r="T24" s="34">
        <v>1193</v>
      </c>
      <c r="U24" s="35">
        <v>5009</v>
      </c>
      <c r="V24" s="20"/>
      <c r="W24" s="20"/>
      <c r="X24" s="20"/>
      <c r="Y24" s="20"/>
      <c r="Z24" s="20"/>
      <c r="AA24" s="20"/>
      <c r="AB24" s="20"/>
    </row>
    <row r="25" spans="1:28" x14ac:dyDescent="0.25">
      <c r="A25" s="20"/>
      <c r="B25" s="20"/>
      <c r="C25" s="20"/>
      <c r="D25" s="20"/>
      <c r="E25" s="20"/>
      <c r="F25" s="20"/>
      <c r="G25" s="20"/>
      <c r="H25" s="20"/>
      <c r="I25" s="20"/>
      <c r="J25" s="20"/>
      <c r="K25" s="20"/>
      <c r="L25" s="20"/>
      <c r="M25" s="20"/>
      <c r="N25" s="20"/>
      <c r="O25" s="31" t="str">
        <v>C0010</v>
      </c>
      <c r="P25" s="34">
        <v>900</v>
      </c>
      <c r="Q25" s="34">
        <v>1470</v>
      </c>
      <c r="R25" s="34">
        <v>1617</v>
      </c>
      <c r="S25" s="34">
        <v>1314</v>
      </c>
      <c r="T25" s="34">
        <v>941</v>
      </c>
      <c r="U25" s="35">
        <v>6242</v>
      </c>
      <c r="V25" s="20"/>
      <c r="W25" s="20"/>
      <c r="X25" s="20"/>
      <c r="Y25" s="20"/>
      <c r="Z25" s="20"/>
      <c r="AA25" s="20"/>
      <c r="AB25" s="20"/>
    </row>
    <row r="26" spans="1:28" x14ac:dyDescent="0.25">
      <c r="A26" s="20"/>
      <c r="B26" s="20"/>
      <c r="C26" s="20"/>
      <c r="D26" s="20"/>
      <c r="E26" s="20"/>
      <c r="F26" s="20"/>
      <c r="G26" s="20"/>
      <c r="H26" s="20"/>
      <c r="I26" s="20"/>
      <c r="J26" s="20"/>
      <c r="K26" s="20"/>
      <c r="L26" s="20"/>
      <c r="M26" s="20"/>
      <c r="N26" s="20"/>
      <c r="O26" s="31" t="str">
        <v>C0013</v>
      </c>
      <c r="P26" s="34">
        <v>1255</v>
      </c>
      <c r="Q26" s="34">
        <v>516</v>
      </c>
      <c r="R26" s="34">
        <v>1874</v>
      </c>
      <c r="S26" s="34">
        <v>1863</v>
      </c>
      <c r="T26" s="34">
        <v>1722</v>
      </c>
      <c r="U26" s="35">
        <v>7230</v>
      </c>
      <c r="V26" s="20"/>
      <c r="W26" s="20"/>
      <c r="X26" s="20"/>
      <c r="Y26" s="20"/>
      <c r="Z26" s="20"/>
      <c r="AA26" s="20"/>
      <c r="AB26" s="20"/>
    </row>
    <row r="27" spans="1:28" x14ac:dyDescent="0.25">
      <c r="A27" s="20"/>
      <c r="B27" s="20"/>
      <c r="C27" s="20"/>
      <c r="D27" s="20"/>
      <c r="E27" s="20"/>
      <c r="F27" s="20"/>
      <c r="G27" s="20"/>
      <c r="H27" s="20"/>
      <c r="I27" s="20"/>
      <c r="J27" s="20"/>
      <c r="K27" s="20"/>
      <c r="L27" s="20"/>
      <c r="M27" s="20"/>
      <c r="N27" s="20"/>
      <c r="O27" s="31" t="str">
        <v>C0015</v>
      </c>
      <c r="P27" s="34">
        <v>1138</v>
      </c>
      <c r="Q27" s="34">
        <v>1898</v>
      </c>
      <c r="R27" s="34">
        <v>1482</v>
      </c>
      <c r="S27" s="34">
        <v>846</v>
      </c>
      <c r="T27" s="34">
        <v>1154</v>
      </c>
      <c r="U27" s="35">
        <v>6518</v>
      </c>
      <c r="V27" s="20"/>
      <c r="W27" s="20"/>
      <c r="X27" s="20"/>
      <c r="Y27" s="20"/>
      <c r="Z27" s="20"/>
      <c r="AA27" s="20"/>
      <c r="AB27" s="20"/>
    </row>
    <row r="28" spans="1:28" x14ac:dyDescent="0.25">
      <c r="A28" s="20"/>
      <c r="B28" s="20"/>
      <c r="C28" s="20"/>
      <c r="D28" s="20"/>
      <c r="E28" s="20"/>
      <c r="F28" s="20"/>
      <c r="G28" s="20"/>
      <c r="H28" s="20"/>
      <c r="I28" s="20"/>
      <c r="J28" s="20"/>
      <c r="K28" s="20"/>
      <c r="L28" s="43" t="e" vm="1">
        <f>Pivots!C75</f>
        <v>#VALUE!</v>
      </c>
      <c r="M28" s="43"/>
      <c r="N28" s="20"/>
      <c r="O28" s="41" t="str">
        <v>Columbus</v>
      </c>
      <c r="P28" s="34" t="str">
        <v/>
      </c>
      <c r="Q28" s="34" t="str">
        <v/>
      </c>
      <c r="R28" s="34" t="str">
        <v/>
      </c>
      <c r="S28" s="34" t="str">
        <v/>
      </c>
      <c r="T28" s="34" t="str">
        <v/>
      </c>
      <c r="U28" s="35" t="str">
        <v/>
      </c>
      <c r="V28" s="20"/>
      <c r="W28" s="20"/>
      <c r="X28" s="20"/>
      <c r="Y28" s="20"/>
      <c r="Z28" s="20"/>
      <c r="AA28" s="20"/>
      <c r="AB28" s="20"/>
    </row>
    <row r="29" spans="1:28" x14ac:dyDescent="0.25">
      <c r="A29" s="20"/>
      <c r="B29" s="20"/>
      <c r="C29" s="20"/>
      <c r="D29" s="20"/>
      <c r="E29" s="20"/>
      <c r="F29" s="20"/>
      <c r="G29" s="20"/>
      <c r="H29" s="20"/>
      <c r="I29" s="20"/>
      <c r="J29" s="20"/>
      <c r="K29" s="20"/>
      <c r="L29" s="43"/>
      <c r="M29" s="43"/>
      <c r="N29" s="20"/>
      <c r="O29" s="31" t="str">
        <v>C0001</v>
      </c>
      <c r="P29" s="34">
        <v>1655</v>
      </c>
      <c r="Q29" s="34">
        <v>805</v>
      </c>
      <c r="R29" s="34">
        <v>2263</v>
      </c>
      <c r="S29" s="34">
        <v>987</v>
      </c>
      <c r="T29" s="34">
        <v>1075</v>
      </c>
      <c r="U29" s="35">
        <v>6785</v>
      </c>
      <c r="V29" s="20"/>
      <c r="W29" s="20"/>
      <c r="X29" s="20"/>
      <c r="Y29" s="20"/>
      <c r="Z29" s="20"/>
      <c r="AA29" s="20"/>
      <c r="AB29" s="20"/>
    </row>
    <row r="30" spans="1:28" x14ac:dyDescent="0.25">
      <c r="A30" s="20"/>
      <c r="B30" s="20"/>
      <c r="C30" s="20"/>
      <c r="D30" s="20"/>
      <c r="E30" s="20"/>
      <c r="F30" s="20"/>
      <c r="G30" s="20"/>
      <c r="H30" s="20"/>
      <c r="I30" s="20"/>
      <c r="J30" s="20"/>
      <c r="K30" s="20"/>
      <c r="L30" s="43"/>
      <c r="M30" s="43"/>
      <c r="N30" s="20"/>
      <c r="O30" s="31" t="str">
        <v>C0005</v>
      </c>
      <c r="P30" s="34">
        <v>1104</v>
      </c>
      <c r="Q30" s="34">
        <v>2280</v>
      </c>
      <c r="R30" s="34">
        <v>1445</v>
      </c>
      <c r="S30" s="34">
        <v>1722</v>
      </c>
      <c r="T30" s="34">
        <v>1196</v>
      </c>
      <c r="U30" s="35">
        <v>7747</v>
      </c>
      <c r="V30" s="20"/>
      <c r="W30" s="20"/>
      <c r="X30" s="20"/>
      <c r="Y30" s="20"/>
      <c r="Z30" s="20"/>
      <c r="AA30" s="20"/>
      <c r="AB30" s="20"/>
    </row>
    <row r="31" spans="1:28" x14ac:dyDescent="0.25">
      <c r="A31" s="20"/>
      <c r="B31" s="20"/>
      <c r="C31" s="20"/>
      <c r="D31" s="20"/>
      <c r="E31" s="20"/>
      <c r="F31" s="20"/>
      <c r="G31" s="20"/>
      <c r="H31" s="20"/>
      <c r="I31" s="20"/>
      <c r="J31" s="20"/>
      <c r="K31" s="20"/>
      <c r="L31" s="43"/>
      <c r="M31" s="43"/>
      <c r="N31" s="20"/>
      <c r="O31" s="31" t="str">
        <v>C0006</v>
      </c>
      <c r="P31" s="34">
        <v>372</v>
      </c>
      <c r="Q31" s="34">
        <v>1818</v>
      </c>
      <c r="R31" s="34">
        <v>1346</v>
      </c>
      <c r="S31" s="34">
        <v>1156</v>
      </c>
      <c r="T31" s="34">
        <v>1484</v>
      </c>
      <c r="U31" s="35">
        <v>6176</v>
      </c>
      <c r="V31" s="20"/>
      <c r="W31" s="20"/>
      <c r="X31" s="20"/>
      <c r="Y31" s="20"/>
      <c r="Z31" s="20"/>
      <c r="AA31" s="20"/>
      <c r="AB31" s="20"/>
    </row>
    <row r="32" spans="1:28" x14ac:dyDescent="0.25">
      <c r="A32" s="20"/>
      <c r="B32" s="20"/>
      <c r="C32" s="20"/>
      <c r="D32" s="20"/>
      <c r="E32" s="20"/>
      <c r="F32" s="20"/>
      <c r="G32" s="20"/>
      <c r="H32" s="20"/>
      <c r="I32" s="20"/>
      <c r="J32" s="20"/>
      <c r="K32" s="20"/>
      <c r="L32" s="43" t="str">
        <f>Pivots!C72</f>
        <v>% of Calls: 19%</v>
      </c>
      <c r="M32" s="43"/>
      <c r="N32" s="20"/>
      <c r="O32" s="31" t="str">
        <v>C0009</v>
      </c>
      <c r="P32" s="34">
        <v>1415</v>
      </c>
      <c r="Q32" s="34">
        <v>1271</v>
      </c>
      <c r="R32" s="34">
        <v>1214</v>
      </c>
      <c r="S32" s="34">
        <v>1135</v>
      </c>
      <c r="T32" s="34">
        <v>1566</v>
      </c>
      <c r="U32" s="35">
        <v>6601</v>
      </c>
      <c r="V32" s="20"/>
      <c r="W32" s="20"/>
      <c r="X32" s="20"/>
      <c r="Y32" s="20"/>
      <c r="Z32" s="20"/>
      <c r="AA32" s="20"/>
      <c r="AB32" s="20"/>
    </row>
    <row r="33" spans="1:28" x14ac:dyDescent="0.25">
      <c r="A33" s="20"/>
      <c r="B33" s="20"/>
      <c r="C33" s="20"/>
      <c r="D33" s="20"/>
      <c r="E33" s="20"/>
      <c r="F33" s="20"/>
      <c r="G33" s="20"/>
      <c r="H33" s="20"/>
      <c r="I33" s="20"/>
      <c r="J33" s="20"/>
      <c r="K33" s="20"/>
      <c r="L33" s="43" t="str">
        <f>Pivots!C73</f>
        <v>Call rank: 5</v>
      </c>
      <c r="M33" s="43"/>
      <c r="N33" s="20"/>
      <c r="O33" s="36" t="str">
        <v>C0014</v>
      </c>
      <c r="P33" s="37">
        <v>1362</v>
      </c>
      <c r="Q33" s="37">
        <v>1363</v>
      </c>
      <c r="R33" s="37">
        <v>1152</v>
      </c>
      <c r="S33" s="37">
        <v>777</v>
      </c>
      <c r="T33" s="37">
        <v>750</v>
      </c>
      <c r="U33" s="38">
        <v>5404</v>
      </c>
      <c r="V33" s="20"/>
      <c r="W33" s="20"/>
      <c r="X33" s="20"/>
      <c r="Y33" s="20"/>
      <c r="Z33" s="20"/>
      <c r="AA33" s="20"/>
      <c r="AB33" s="20"/>
    </row>
    <row r="34" spans="1:28" x14ac:dyDescent="0.25">
      <c r="A34" s="20"/>
      <c r="B34" s="20"/>
      <c r="C34" s="20"/>
      <c r="D34" s="20"/>
      <c r="E34" s="20"/>
      <c r="F34" s="20"/>
      <c r="G34" s="20"/>
      <c r="H34" s="20"/>
      <c r="I34" s="20"/>
      <c r="J34" s="20"/>
      <c r="K34" s="20"/>
      <c r="L34" s="43" t="str">
        <f>Pivots!C74</f>
        <v>Amount rank: 5</v>
      </c>
      <c r="M34" s="43"/>
      <c r="N34" s="20"/>
      <c r="O34" s="20"/>
      <c r="P34" s="20"/>
      <c r="Q34" s="20"/>
      <c r="R34" s="20"/>
      <c r="S34" s="20"/>
      <c r="T34" s="20"/>
      <c r="U34" s="20"/>
      <c r="V34" s="20"/>
      <c r="W34" s="20"/>
      <c r="X34" s="20"/>
      <c r="Y34" s="20"/>
      <c r="Z34" s="20"/>
      <c r="AA34" s="20"/>
      <c r="AB34" s="20"/>
    </row>
    <row r="35" spans="1:28"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row>
    <row r="36" spans="1:28"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spans="1:28"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sheetData>
  <mergeCells count="4">
    <mergeCell ref="L28:M31"/>
    <mergeCell ref="L32:M32"/>
    <mergeCell ref="L33:M33"/>
    <mergeCell ref="L34:M34"/>
  </mergeCells>
  <conditionalFormatting sqref="P17:T33">
    <cfRule type="dataBar" priority="2">
      <dataBar>
        <cfvo type="num" val="0"/>
        <cfvo type="num" val="MAX($P$17:$T$33) * 2.3"/>
        <color theme="1"/>
      </dataBar>
      <extLst>
        <ext xmlns:x14="http://schemas.microsoft.com/office/spreadsheetml/2009/9/main" uri="{B025F937-C7B1-47D3-B67F-A62EFF666E3E}">
          <x14:id>{591983BF-3E24-42C4-A0C3-A8A782B61E34}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F450314D-EBB1-4C50-A334-948883CEA9EC}">
            <xm:f>P$15=Pivots!$A$46</xm:f>
            <x14:dxf>
              <fill>
                <patternFill>
                  <bgColor theme="9" tint="0.59996337778862885"/>
                </patternFill>
              </fill>
              <border>
                <left style="thin">
                  <color theme="1"/>
                </left>
                <right style="thin">
                  <color theme="1"/>
                </right>
                <vertical/>
                <horizontal/>
              </border>
            </x14:dxf>
          </x14:cfRule>
          <xm:sqref>P15:T33</xm:sqref>
        </x14:conditionalFormatting>
        <x14:conditionalFormatting xmlns:xm="http://schemas.microsoft.com/office/excel/2006/main">
          <x14:cfRule type="dataBar" id="{591983BF-3E24-42C4-A0C3-A8A782B61E34}">
            <x14:dataBar minLength="0" maxLength="100" gradient="0">
              <x14:cfvo type="num">
                <xm:f>0</xm:f>
              </x14:cfvo>
              <x14:cfvo type="num">
                <xm:f>MAX($P$17:$T$33) * 2.3</xm:f>
              </x14:cfvo>
              <x14:negativeFillColor rgb="FFFF0000"/>
              <x14:axisColor rgb="FF000000"/>
            </x14:dataBar>
          </x14:cfRule>
          <xm:sqref>P17:T33</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D22" sqref="D22"/>
    </sheetView>
  </sheetViews>
  <sheetFormatPr defaultRowHeight="15" x14ac:dyDescent="0.25"/>
  <cols>
    <col min="5" max="5" width="10.875" customWidth="1"/>
    <col min="6" max="6" width="9.875" customWidth="1"/>
  </cols>
  <sheetData>
    <row r="2" spans="5:6" x14ac:dyDescent="0.25">
      <c r="E2" t="s">
        <v>1040</v>
      </c>
      <c r="F2" t="s">
        <v>1041</v>
      </c>
    </row>
    <row r="3" spans="5:6" ht="25.5" customHeight="1" x14ac:dyDescent="0.25">
      <c r="E3" t="s">
        <v>11</v>
      </c>
      <c r="F3" t="e" vm="2">
        <v>#VALUE!</v>
      </c>
    </row>
    <row r="4" spans="5:6" ht="25.5" customHeight="1" x14ac:dyDescent="0.25">
      <c r="E4" t="s">
        <v>9</v>
      </c>
      <c r="F4" t="e" vm="3">
        <v>#VALUE!</v>
      </c>
    </row>
    <row r="5" spans="5:6" ht="25.5" customHeight="1" x14ac:dyDescent="0.25">
      <c r="E5" t="s">
        <v>6</v>
      </c>
      <c r="F5" t="e" vm="4">
        <v>#VALUE!</v>
      </c>
    </row>
    <row r="6" spans="5:6" ht="25.5" customHeight="1" x14ac:dyDescent="0.25">
      <c r="E6" t="s">
        <v>13</v>
      </c>
      <c r="F6" t="e" vm="5">
        <v>#VALUE!</v>
      </c>
    </row>
    <row r="7" spans="5:6" ht="25.5" customHeight="1" x14ac:dyDescent="0.25">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Pivots</vt:lpstr>
      <vt:lpstr>Data</vt:lpstr>
      <vt:lpstr>Call-Centre-Report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Shaheer Abdullah</cp:lastModifiedBy>
  <dcterms:created xsi:type="dcterms:W3CDTF">2021-03-14T20:21:32Z</dcterms:created>
  <dcterms:modified xsi:type="dcterms:W3CDTF">2026-07-17T07:12:59Z</dcterms:modified>
</cp:coreProperties>
</file>